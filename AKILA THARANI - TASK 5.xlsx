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5" documentId="8_{52CB0308-5917-4157-A8BE-74CFE4496E12}" xr6:coauthVersionLast="47" xr6:coauthVersionMax="47" xr10:uidLastSave="{694E7603-D2C9-4DC0-B9B4-FF90F2220827}"/>
  <bookViews>
    <workbookView xWindow="-108" yWindow="-108" windowWidth="23256" windowHeight="12456" xr2:uid="{12E4C5D0-C2CF-484B-813D-754DC29A64A4}"/>
  </bookViews>
  <sheets>
    <sheet name="AKILA THARANI -TASK 5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S2" i="1"/>
  <c r="R2" i="1"/>
  <c r="Q2" i="1"/>
  <c r="P2" i="1"/>
  <c r="O2" i="1"/>
  <c r="N2" i="1"/>
</calcChain>
</file>

<file path=xl/sharedStrings.xml><?xml version="1.0" encoding="utf-8"?>
<sst xmlns="http://schemas.openxmlformats.org/spreadsheetml/2006/main" count="203" uniqueCount="125">
  <si>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</si>
  <si>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</si>
  <si>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</si>
  <si>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</si>
  <si>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</si>
  <si>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</si>
  <si>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</si>
  <si>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</si>
  <si>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</si>
  <si>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</si>
  <si>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</si>
  <si>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</si>
  <si>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</si>
  <si>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</si>
  <si>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</si>
  <si>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</si>
  <si>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</si>
  <si>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</si>
  <si>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</si>
  <si>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</si>
  <si>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</si>
  <si>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</si>
  <si>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</si>
  <si>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</si>
  <si>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</si>
  <si>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</si>
  <si>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</si>
  <si>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</si>
  <si>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</si>
  <si>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</si>
  <si>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</si>
  <si>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</si>
  <si>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</si>
  <si>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</si>
  <si>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</si>
  <si>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</si>
  <si>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</si>
  <si>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</si>
  <si>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</si>
  <si>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</si>
  <si>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</si>
  <si>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</si>
  <si>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</si>
  <si>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</si>
  <si>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</si>
  <si>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</si>
  <si>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</si>
  <si>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</si>
  <si>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</si>
  <si>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</si>
  <si>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</si>
  <si>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</si>
  <si>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</si>
  <si>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</si>
  <si>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</si>
  <si>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</si>
  <si>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</si>
  <si>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</si>
  <si>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</si>
  <si>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</si>
  <si>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</si>
  <si>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</si>
  <si>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</si>
  <si>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</si>
  <si>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</si>
  <si>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</si>
  <si>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</si>
  <si>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</si>
  <si>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</si>
  <si>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</si>
  <si>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</si>
  <si>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</si>
  <si>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</si>
  <si>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</si>
  <si>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</si>
  <si>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</si>
  <si>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</si>
  <si>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</si>
  <si>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</si>
  <si>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</si>
  <si>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</si>
  <si>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</si>
  <si>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</si>
  <si>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</si>
  <si>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</si>
  <si>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Low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</si>
  <si>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</si>
  <si>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</si>
  <si>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</si>
  <si>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</si>
  <si>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</si>
  <si>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</si>
  <si>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</si>
  <si>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</si>
  <si>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</si>
  <si>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</si>
  <si>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</si>
  <si>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</si>
  <si>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</si>
  <si>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</si>
  <si>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</si>
  <si>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</si>
  <si>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</si>
  <si>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</si>
  <si>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</si>
  <si>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</si>
  <si>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</si>
  <si>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</si>
  <si>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</si>
  <si>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</si>
  <si>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</si>
  <si>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</si>
  <si>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</si>
  <si>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</si>
  <si>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</si>
  <si>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</si>
  <si>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Day 5 – Text Functions Practice</t>
  </si>
  <si>
    <t>Use: LEFT(), RIGHT(), MID(), UPPER(), LOWER(), PROPER()</t>
  </si>
  <si>
    <r>
      <t>Task:</t>
    </r>
    <r>
      <rPr>
        <sz val="13.95"/>
        <color rgb="FF000000"/>
        <rFont val="Arial"/>
        <family val="2"/>
      </rPr>
      <t xml:space="preserve"> Clean and format text columns (names, cities, etc.) properly.</t>
    </r>
  </si>
  <si>
    <t>UPPER</t>
  </si>
  <si>
    <t>LOWER</t>
  </si>
  <si>
    <t>PROPER</t>
  </si>
  <si>
    <t>LEFT (Nam 2)</t>
  </si>
  <si>
    <t>RIGHT (Country)</t>
  </si>
  <si>
    <t>MID (Category)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</si>
</sst>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7" tint="0.79998168889431442"/>
      <name val="Aptos Narrow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24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0.79998168889431442"/>
        <name val="Aptos Narrow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018D4-722C-4C20-B0C8-A232CD221449}" name="Table1" displayName="Table1" ref="A1:S25" totalsRowShown="0" headerRowDxfId="23" dataDxfId="21" headerRowBorderDxfId="22" tableBorderDxfId="20" totalsRowBorderDxfId="19">
  <autoFilter ref="A1:S25" xr:uid="{B5D018D4-722C-4C20-B0C8-A232CD221449}"/>
  <tableColumns count="19">
    <tableColumn id="1" xr3:uid="{39E9DEBB-57C1-452C-82D4-1097619C9D49}" name="Order ID" dataDxfId="18"/>
    <tableColumn id="2" xr3:uid="{854978EE-750E-490D-87AE-62FFAD21F964}" name="Order Date" dataDxfId="17"/>
    <tableColumn id="3" xr3:uid="{32F210CE-ECD2-4BB1-94BF-C0F18B7FA79E}" name="Ship Date" dataDxfId="16"/>
    <tableColumn id="4" xr3:uid="{8B2BDDBA-FF17-4D1E-B791-F5BC985A432A}" name="Customer Name" dataDxfId="15"/>
    <tableColumn id="5" xr3:uid="{DECAEB88-AD2C-423A-B7F3-C5839094FF6B}" name="Country" dataDxfId="14"/>
    <tableColumn id="6" xr3:uid="{4BCDF4D6-4A7E-464C-93AA-BDFA546368FA}" name="Region" dataDxfId="13"/>
    <tableColumn id="7" xr3:uid="{2628272B-BD2F-4921-B2EC-B794C675C523}" name="Category" dataDxfId="12"/>
    <tableColumn id="8" xr3:uid="{1A3BF287-3EB6-4407-8242-3E951C5ACB9A}" name="Sub-Category" dataDxfId="11"/>
    <tableColumn id="9" xr3:uid="{3F119E67-DA3A-4B10-B342-CDE03153260C}" name="Sales" dataDxfId="10"/>
    <tableColumn id="10" xr3:uid="{FE301CED-80E8-43D8-A530-19CF9B411A74}" name="Quantity" dataDxfId="9"/>
    <tableColumn id="11" xr3:uid="{E09B445C-6F32-44FC-A603-25886A3CBDBB}" name="Discount" dataDxfId="8"/>
    <tableColumn id="12" xr3:uid="{0A475242-B672-4A54-915C-4D412C4E5475}" name="Profit" dataDxfId="7"/>
    <tableColumn id="13" xr3:uid="{64CDF0BD-4BF0-4937-8610-A9098D7211FA}" name="Order Priority" dataDxfId="6"/>
    <tableColumn id="14" xr3:uid="{781517F7-B35D-4D3C-AA7B-5D2F7AB84AEE}" name="LEFT (Nam 2)" dataDxfId="5">
      <calculatedColumnFormula>LEFT(D2, 4)</calculatedColumnFormula>
    </tableColumn>
    <tableColumn id="15" xr3:uid="{667C7C6E-0A42-4780-9D46-057FA8F1D393}" name="RIGHT (Country)" dataDxfId="4">
      <calculatedColumnFormula>RIGHT(E2, 5)</calculatedColumnFormula>
    </tableColumn>
    <tableColumn id="16" xr3:uid="{D5709B86-6A22-4062-8A53-86B38570981F}" name="MID (Category)" dataDxfId="3">
      <calculatedColumnFormula>MID(G2,2,8)</calculatedColumnFormula>
    </tableColumn>
    <tableColumn id="17" xr3:uid="{76057C95-5944-44D7-890E-246134FF005E}" name="UPPER" dataDxfId="2">
      <calculatedColumnFormula>UPPER(D2)</calculatedColumnFormula>
    </tableColumn>
    <tableColumn id="18" xr3:uid="{22EA33E3-4331-46A4-9A49-A8BDF0F1CCA1}" name="LOWER" dataDxfId="1">
      <calculatedColumnFormula>LOWER(D2)</calculatedColumnFormula>
    </tableColumn>
    <tableColumn id="19" xr3:uid="{4C058C80-1ABF-41BF-A0D2-3C786689C9FC}" name="PROPER" dataDxfId="0">
      <calculatedColumnFormula>PROPER(D2)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AC8D-2F4D-483F-9628-C1D859245457}">
  <dimension ref="A1:X25"/>
  <sheetViews>
    <sheetView tabSelected="1" zoomScale="42" zoomScaleNormal="42" workbookViewId="0">
      <selection activeCell="O27" sqref="O27"/>
    </sheetView>
  </sheetViews>
  <sheetFormatPr defaultRowHeight="14.4" x14ac:dyDescent="0.3"/>
  <cols>
    <col min="1" max="1" width="32.5546875" customWidth="1"/>
    <col min="2" max="2" width="20.44140625" customWidth="1"/>
    <col min="3" max="3" width="23.5546875" customWidth="1"/>
    <col min="4" max="4" width="22" customWidth="1"/>
    <col min="5" max="5" width="16.109375" customWidth="1"/>
    <col min="6" max="6" width="18.109375" customWidth="1"/>
    <col min="7" max="7" width="18.33203125" customWidth="1"/>
    <col min="8" max="8" width="20.109375" customWidth="1"/>
    <col min="9" max="9" width="13.88671875" customWidth="1"/>
    <col min="10" max="10" width="13.44140625" customWidth="1"/>
    <col min="11" max="11" width="14" customWidth="1"/>
    <col min="12" max="12" width="11.33203125" customWidth="1"/>
    <col min="13" max="13" width="20.33203125" customWidth="1"/>
    <col min="14" max="14" width="27.5546875" customWidth="1"/>
    <col min="15" max="15" width="28.88671875" customWidth="1"/>
    <col min="16" max="16" width="27.21875" customWidth="1"/>
    <col min="17" max="17" width="25.21875" customWidth="1"/>
    <col min="18" max="18" width="21.5546875" customWidth="1"/>
    <col min="19" max="19" width="26" customWidth="1"/>
  </cols>
  <sheetData>
    <row r="1" spans="1:24" ht="36" customHeigh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122</v>
      </c>
      <c r="O1" s="12" t="s">
        <v>123</v>
      </c>
      <c r="P1" s="12" t="s">
        <v>124</v>
      </c>
      <c r="Q1" s="12" t="s">
        <v>119</v>
      </c>
      <c r="R1" s="12" t="s">
        <v>120</v>
      </c>
      <c r="S1" s="13" t="s">
        <v>121</v>
      </c>
    </row>
    <row r="2" spans="1:24" ht="28.2" customHeight="1" x14ac:dyDescent="0.3">
      <c r="A2" s="8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27</v>
      </c>
      <c r="I2" s="2">
        <v>5175.1710000000003</v>
      </c>
      <c r="J2" s="2">
        <v>9</v>
      </c>
      <c r="K2" s="2">
        <v>0.1</v>
      </c>
      <c r="L2" s="2">
        <v>919.971</v>
      </c>
      <c r="M2" s="2" t="s">
        <v>21</v>
      </c>
      <c r="N2" s="1" t="str">
        <f>LEFT(D2, 4)</f>
        <v>Crai</v>
      </c>
      <c r="O2" s="1" t="str">
        <f>RIGHT(E2, 5)</f>
        <v>ralia</v>
      </c>
      <c r="P2" s="1" t="str">
        <f>MID(G2,2,8)</f>
        <v>echnolog</v>
      </c>
      <c r="Q2" s="1" t="str">
        <f>UPPER(D2)</f>
        <v>CRAIG REITER</v>
      </c>
      <c r="R2" s="1" t="str">
        <f>LOWER(D2)</f>
        <v>craig reiter</v>
      </c>
      <c r="S2" s="9" t="str">
        <f>PROPER(D2)</f>
        <v>Craig Reiter</v>
      </c>
    </row>
    <row r="3" spans="1:24" ht="27.6" customHeight="1" x14ac:dyDescent="0.3">
      <c r="A3" s="8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/>
      <c r="G3" s="2" t="s">
        <v>19</v>
      </c>
      <c r="H3" s="2" t="s">
        <v>27</v>
      </c>
      <c r="I3" s="1">
        <v>2892.51</v>
      </c>
      <c r="J3" s="2">
        <v>5</v>
      </c>
      <c r="K3" s="2">
        <v>0.1</v>
      </c>
      <c r="L3" s="2">
        <v>-96.54</v>
      </c>
      <c r="M3" s="2"/>
      <c r="N3" s="1" t="str">
        <f t="shared" ref="N3:N25" si="0">LEFT(D3, 4)</f>
        <v>Kath</v>
      </c>
      <c r="O3" s="1" t="str">
        <f t="shared" ref="O3:O25" si="1">RIGHT(E3, 5)</f>
        <v>rmany</v>
      </c>
      <c r="P3" s="1" t="str">
        <f t="shared" ref="P3:P25" si="2">MID(G3,2,8)</f>
        <v>echnolog</v>
      </c>
      <c r="Q3" s="1" t="str">
        <f t="shared" ref="Q3:Q25" si="3">UPPER(D3)</f>
        <v>KATHERINE MURRAY</v>
      </c>
      <c r="R3" s="1" t="str">
        <f t="shared" ref="R3:R25" si="4">LOWER(D3)</f>
        <v>katherine murray</v>
      </c>
      <c r="S3" s="9" t="str">
        <f t="shared" ref="S3:S25" si="5">PROPER(D3)</f>
        <v>Katherine Murray</v>
      </c>
    </row>
    <row r="4" spans="1:24" ht="21" customHeight="1" x14ac:dyDescent="0.3">
      <c r="A4" s="8"/>
      <c r="B4" s="3">
        <v>41770</v>
      </c>
      <c r="C4" s="3">
        <v>41801</v>
      </c>
      <c r="D4" s="1" t="s">
        <v>28</v>
      </c>
      <c r="E4" s="2"/>
      <c r="F4" s="2" t="s">
        <v>29</v>
      </c>
      <c r="G4" s="2" t="s">
        <v>19</v>
      </c>
      <c r="H4" s="2" t="s">
        <v>30</v>
      </c>
      <c r="I4" s="2">
        <v>2832.96</v>
      </c>
      <c r="J4" s="2">
        <v>8</v>
      </c>
      <c r="K4" s="2">
        <v>0</v>
      </c>
      <c r="L4" s="2">
        <v>311.52</v>
      </c>
      <c r="M4" s="2" t="s">
        <v>31</v>
      </c>
      <c r="N4" s="1" t="str">
        <f t="shared" si="0"/>
        <v>Rick</v>
      </c>
      <c r="O4" s="1" t="str">
        <f t="shared" si="1"/>
        <v/>
      </c>
      <c r="P4" s="1" t="str">
        <f t="shared" si="2"/>
        <v>echnolog</v>
      </c>
      <c r="Q4" s="1" t="str">
        <f t="shared" si="3"/>
        <v>RICK HANSEN</v>
      </c>
      <c r="R4" s="1" t="str">
        <f t="shared" si="4"/>
        <v>rick hansen</v>
      </c>
      <c r="S4" s="9" t="str">
        <f t="shared" si="5"/>
        <v>Rick Hansen</v>
      </c>
    </row>
    <row r="5" spans="1:24" ht="21" customHeight="1" x14ac:dyDescent="0.3">
      <c r="A5" s="8" t="s">
        <v>32</v>
      </c>
      <c r="B5" s="2" t="s">
        <v>33</v>
      </c>
      <c r="C5" s="3">
        <v>41646</v>
      </c>
      <c r="D5" s="2" t="s">
        <v>34</v>
      </c>
      <c r="E5" s="2" t="s">
        <v>17</v>
      </c>
      <c r="F5" s="2" t="s">
        <v>18</v>
      </c>
      <c r="G5" s="2" t="s">
        <v>19</v>
      </c>
      <c r="H5" s="2" t="s">
        <v>30</v>
      </c>
      <c r="I5" s="2">
        <v>2862.6750000000002</v>
      </c>
      <c r="J5" s="2">
        <v>5</v>
      </c>
      <c r="K5" s="2">
        <v>0.1</v>
      </c>
      <c r="L5" s="2">
        <v>763.27499999999998</v>
      </c>
      <c r="M5" s="2" t="s">
        <v>31</v>
      </c>
      <c r="N5" s="1" t="str">
        <f t="shared" si="0"/>
        <v xml:space="preserve">Jim </v>
      </c>
      <c r="O5" s="1" t="str">
        <f t="shared" si="1"/>
        <v>ralia</v>
      </c>
      <c r="P5" s="1" t="str">
        <f t="shared" si="2"/>
        <v>echnolog</v>
      </c>
      <c r="Q5" s="1" t="str">
        <f t="shared" si="3"/>
        <v>JIM MITCHUM</v>
      </c>
      <c r="R5" s="1" t="str">
        <f t="shared" si="4"/>
        <v>jim mitchum</v>
      </c>
      <c r="S5" s="9" t="str">
        <f t="shared" si="5"/>
        <v>Jim Mitchum</v>
      </c>
    </row>
    <row r="6" spans="1:24" ht="22.2" customHeight="1" x14ac:dyDescent="0.3">
      <c r="A6" s="8"/>
      <c r="B6" s="3">
        <v>41071</v>
      </c>
      <c r="C6" s="3">
        <v>41132</v>
      </c>
      <c r="D6" s="2" t="s">
        <v>35</v>
      </c>
      <c r="E6" s="2" t="s">
        <v>36</v>
      </c>
      <c r="F6" s="2" t="s">
        <v>18</v>
      </c>
      <c r="G6" s="2" t="s">
        <v>37</v>
      </c>
      <c r="H6" s="2" t="s">
        <v>38</v>
      </c>
      <c r="I6" s="2">
        <v>1822.08</v>
      </c>
      <c r="J6" s="2">
        <v>4</v>
      </c>
      <c r="K6" s="2">
        <v>0</v>
      </c>
      <c r="L6" s="2">
        <v>564.84</v>
      </c>
      <c r="M6" s="2" t="s">
        <v>31</v>
      </c>
      <c r="N6" s="1" t="str">
        <f t="shared" si="0"/>
        <v>Toby</v>
      </c>
      <c r="O6" s="1" t="str">
        <f t="shared" si="1"/>
        <v>aland</v>
      </c>
      <c r="P6" s="1" t="str">
        <f t="shared" si="2"/>
        <v>urniture</v>
      </c>
      <c r="Q6" s="1" t="str">
        <f t="shared" si="3"/>
        <v>TOBY SWINDELL</v>
      </c>
      <c r="R6" s="1" t="str">
        <f t="shared" si="4"/>
        <v>toby swindell</v>
      </c>
      <c r="S6" s="9" t="str">
        <f t="shared" si="5"/>
        <v>Toby Swindell</v>
      </c>
    </row>
    <row r="7" spans="1:24" ht="23.4" customHeight="1" x14ac:dyDescent="0.3">
      <c r="A7" s="8" t="s">
        <v>39</v>
      </c>
      <c r="B7" s="2"/>
      <c r="C7" s="2"/>
      <c r="D7" s="2" t="s">
        <v>40</v>
      </c>
      <c r="E7" s="2" t="s">
        <v>36</v>
      </c>
      <c r="F7" s="2" t="s">
        <v>18</v>
      </c>
      <c r="G7" s="2" t="s">
        <v>37</v>
      </c>
      <c r="H7" s="2" t="s">
        <v>30</v>
      </c>
      <c r="I7" s="2">
        <v>5244.84</v>
      </c>
      <c r="J7" s="2" t="s">
        <v>41</v>
      </c>
      <c r="K7" s="2">
        <v>0</v>
      </c>
      <c r="L7" s="2">
        <v>996.48</v>
      </c>
      <c r="M7" s="2" t="s">
        <v>42</v>
      </c>
      <c r="N7" s="1" t="str">
        <f t="shared" si="0"/>
        <v>Mick</v>
      </c>
      <c r="O7" s="1" t="str">
        <f t="shared" si="1"/>
        <v>aland</v>
      </c>
      <c r="P7" s="1" t="str">
        <f t="shared" si="2"/>
        <v>urniture</v>
      </c>
      <c r="Q7" s="1" t="str">
        <f t="shared" si="3"/>
        <v>MICK BROWN</v>
      </c>
      <c r="R7" s="1" t="str">
        <f t="shared" si="4"/>
        <v>mick brown</v>
      </c>
      <c r="S7" s="9" t="str">
        <f t="shared" si="5"/>
        <v>Mick Brown</v>
      </c>
      <c r="X7" s="5" t="s">
        <v>116</v>
      </c>
    </row>
    <row r="8" spans="1:24" ht="31.8" customHeight="1" x14ac:dyDescent="0.3">
      <c r="A8" s="8" t="s">
        <v>43</v>
      </c>
      <c r="B8" s="3">
        <v>41954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37</v>
      </c>
      <c r="H8" s="2" t="s">
        <v>27</v>
      </c>
      <c r="I8" s="2">
        <v>341.96</v>
      </c>
      <c r="J8" s="2">
        <v>2</v>
      </c>
      <c r="K8" s="2">
        <v>0</v>
      </c>
      <c r="L8" s="2">
        <v>54.7136</v>
      </c>
      <c r="M8" s="2" t="s">
        <v>42</v>
      </c>
      <c r="N8" s="1" t="str">
        <f t="shared" si="0"/>
        <v>Aaro</v>
      </c>
      <c r="O8" s="1" t="str">
        <f t="shared" si="1"/>
        <v>tates</v>
      </c>
      <c r="P8" s="1" t="str">
        <f t="shared" si="2"/>
        <v>urniture</v>
      </c>
      <c r="Q8" s="1" t="str">
        <f t="shared" si="3"/>
        <v>AARON BERGMAN</v>
      </c>
      <c r="R8" s="1" t="str">
        <f t="shared" si="4"/>
        <v>aaron bergman</v>
      </c>
      <c r="S8" s="9" t="str">
        <f t="shared" si="5"/>
        <v>Aaron Bergman</v>
      </c>
      <c r="X8" s="6" t="s">
        <v>117</v>
      </c>
    </row>
    <row r="9" spans="1:24" ht="30.6" customHeight="1" x14ac:dyDescent="0.3">
      <c r="A9" s="8" t="s">
        <v>48</v>
      </c>
      <c r="B9" s="3">
        <v>41063</v>
      </c>
      <c r="C9" s="3">
        <v>41093</v>
      </c>
      <c r="D9" s="2" t="s">
        <v>45</v>
      </c>
      <c r="E9" s="2" t="s">
        <v>46</v>
      </c>
      <c r="F9" s="2" t="s">
        <v>49</v>
      </c>
      <c r="G9" s="2" t="s">
        <v>37</v>
      </c>
      <c r="H9" s="2" t="s">
        <v>50</v>
      </c>
      <c r="I9" s="2">
        <v>48.712000000000003</v>
      </c>
      <c r="J9" s="2">
        <v>1</v>
      </c>
      <c r="K9" s="2"/>
      <c r="L9" s="2">
        <v>5.4801000000000002</v>
      </c>
      <c r="M9" s="2" t="s">
        <v>42</v>
      </c>
      <c r="N9" s="1" t="str">
        <f t="shared" si="0"/>
        <v>Aaro</v>
      </c>
      <c r="O9" s="1" t="str">
        <f t="shared" si="1"/>
        <v>tates</v>
      </c>
      <c r="P9" s="1" t="str">
        <f t="shared" si="2"/>
        <v>urniture</v>
      </c>
      <c r="Q9" s="1" t="str">
        <f t="shared" si="3"/>
        <v>AARON BERGMAN</v>
      </c>
      <c r="R9" s="1" t="str">
        <f t="shared" si="4"/>
        <v>aaron bergman</v>
      </c>
      <c r="S9" s="9" t="str">
        <f t="shared" si="5"/>
        <v>Aaron Bergman</v>
      </c>
      <c r="X9" s="7" t="s">
        <v>118</v>
      </c>
    </row>
    <row r="10" spans="1:24" ht="28.8" customHeight="1" x14ac:dyDescent="0.3">
      <c r="A10" s="8" t="s">
        <v>48</v>
      </c>
      <c r="B10" s="3">
        <v>41063</v>
      </c>
      <c r="C10" s="3">
        <v>41093</v>
      </c>
      <c r="D10" s="1" t="s">
        <v>45</v>
      </c>
      <c r="E10" s="2"/>
      <c r="F10" s="2" t="s">
        <v>49</v>
      </c>
      <c r="G10" s="2" t="s">
        <v>51</v>
      </c>
      <c r="H10" s="2" t="s">
        <v>52</v>
      </c>
      <c r="I10" s="2" t="s">
        <v>53</v>
      </c>
      <c r="J10" s="2">
        <v>3</v>
      </c>
      <c r="K10" s="2">
        <v>0</v>
      </c>
      <c r="L10" s="2">
        <v>26.647123529999998</v>
      </c>
      <c r="M10" s="2" t="s">
        <v>42</v>
      </c>
      <c r="N10" s="1" t="str">
        <f t="shared" si="0"/>
        <v>Aaro</v>
      </c>
      <c r="O10" s="1" t="str">
        <f t="shared" si="1"/>
        <v/>
      </c>
      <c r="P10" s="1" t="str">
        <f t="shared" si="2"/>
        <v>ffice Su</v>
      </c>
      <c r="Q10" s="1" t="str">
        <f t="shared" si="3"/>
        <v>AARON BERGMAN</v>
      </c>
      <c r="R10" s="1" t="str">
        <f t="shared" si="4"/>
        <v>aaron bergman</v>
      </c>
      <c r="S10" s="9" t="str">
        <f t="shared" si="5"/>
        <v>Aaron Bergman</v>
      </c>
    </row>
    <row r="11" spans="1:24" ht="29.4" customHeight="1" x14ac:dyDescent="0.3">
      <c r="A11" s="8" t="s">
        <v>54</v>
      </c>
      <c r="B11" s="2" t="s">
        <v>55</v>
      </c>
      <c r="C11" s="4">
        <v>41386</v>
      </c>
      <c r="D11" s="2" t="s">
        <v>56</v>
      </c>
      <c r="E11" s="2" t="s">
        <v>57</v>
      </c>
      <c r="F11" s="2" t="s">
        <v>58</v>
      </c>
      <c r="G11" s="2" t="s">
        <v>37</v>
      </c>
      <c r="H11" s="2" t="s">
        <v>50</v>
      </c>
      <c r="I11" s="2">
        <v>4626.1499999999996</v>
      </c>
      <c r="J11" s="2">
        <v>5</v>
      </c>
      <c r="K11" s="2">
        <v>0</v>
      </c>
      <c r="L11" s="2"/>
      <c r="M11" s="2" t="s">
        <v>42</v>
      </c>
      <c r="N11" s="1" t="str">
        <f t="shared" si="0"/>
        <v>Anth</v>
      </c>
      <c r="O11" s="1" t="str">
        <f t="shared" si="1"/>
        <v>istan</v>
      </c>
      <c r="P11" s="1" t="str">
        <f t="shared" si="2"/>
        <v>urniture</v>
      </c>
      <c r="Q11" s="1" t="str">
        <f t="shared" si="3"/>
        <v>ANTHONY JACOBS</v>
      </c>
      <c r="R11" s="1" t="str">
        <f t="shared" si="4"/>
        <v>anthony jacobs</v>
      </c>
      <c r="S11" s="9" t="str">
        <f t="shared" si="5"/>
        <v>Anthony Jacobs</v>
      </c>
    </row>
    <row r="12" spans="1:24" ht="35.4" customHeight="1" x14ac:dyDescent="0.3">
      <c r="A12" s="8" t="s">
        <v>59</v>
      </c>
      <c r="B12" s="2" t="s">
        <v>60</v>
      </c>
      <c r="C12" s="2"/>
      <c r="D12" s="2" t="s">
        <v>61</v>
      </c>
      <c r="E12" s="2" t="s">
        <v>62</v>
      </c>
      <c r="F12" s="2" t="s">
        <v>63</v>
      </c>
      <c r="G12" s="2" t="s">
        <v>19</v>
      </c>
      <c r="H12" s="2" t="s">
        <v>64</v>
      </c>
      <c r="I12" s="2">
        <v>2616.96</v>
      </c>
      <c r="J12" s="2">
        <v>4</v>
      </c>
      <c r="K12" s="2">
        <v>0</v>
      </c>
      <c r="L12" s="2">
        <v>1151.4000000000001</v>
      </c>
      <c r="M12" s="2" t="s">
        <v>31</v>
      </c>
      <c r="N12" s="1" t="str">
        <f t="shared" si="0"/>
        <v>Magd</v>
      </c>
      <c r="O12" s="1" t="str">
        <f t="shared" si="1"/>
        <v>rabia</v>
      </c>
      <c r="P12" s="1" t="str">
        <f t="shared" si="2"/>
        <v>echnolog</v>
      </c>
      <c r="Q12" s="1" t="str">
        <f t="shared" si="3"/>
        <v>MAGDELENE MORSE</v>
      </c>
      <c r="R12" s="1" t="str">
        <f t="shared" si="4"/>
        <v>magdelene morse</v>
      </c>
      <c r="S12" s="9" t="str">
        <f t="shared" si="5"/>
        <v>Magdelene Morse</v>
      </c>
    </row>
    <row r="13" spans="1:24" ht="22.2" customHeight="1" x14ac:dyDescent="0.3">
      <c r="A13" s="8" t="s">
        <v>65</v>
      </c>
      <c r="B13" s="2" t="s">
        <v>66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37</v>
      </c>
      <c r="H13" s="2" t="s">
        <v>50</v>
      </c>
      <c r="I13" s="2" t="s">
        <v>70</v>
      </c>
      <c r="J13" s="2" t="s">
        <v>71</v>
      </c>
      <c r="K13" s="2">
        <v>0</v>
      </c>
      <c r="L13" s="2">
        <v>622.02</v>
      </c>
      <c r="M13" s="2" t="s">
        <v>31</v>
      </c>
      <c r="N13" s="1" t="str">
        <f t="shared" si="0"/>
        <v>Vick</v>
      </c>
      <c r="O13" s="1" t="str">
        <f t="shared" si="1"/>
        <v>razil</v>
      </c>
      <c r="P13" s="1" t="str">
        <f t="shared" si="2"/>
        <v>urniture</v>
      </c>
      <c r="Q13" s="1" t="str">
        <f t="shared" si="3"/>
        <v>VICKY FREYMANN</v>
      </c>
      <c r="R13" s="1" t="str">
        <f t="shared" si="4"/>
        <v>vicky freymann</v>
      </c>
      <c r="S13" s="9" t="str">
        <f t="shared" si="5"/>
        <v>Vicky Freymann</v>
      </c>
    </row>
    <row r="14" spans="1:24" ht="26.4" customHeight="1" x14ac:dyDescent="0.3">
      <c r="A14" s="8" t="s">
        <v>72</v>
      </c>
      <c r="B14" s="3">
        <v>41796</v>
      </c>
      <c r="C14" s="3">
        <v>41857</v>
      </c>
      <c r="D14" s="2" t="s">
        <v>73</v>
      </c>
      <c r="E14" s="2" t="s">
        <v>74</v>
      </c>
      <c r="F14" s="2" t="s">
        <v>75</v>
      </c>
      <c r="G14" s="2" t="s">
        <v>51</v>
      </c>
      <c r="H14" s="2" t="s">
        <v>30</v>
      </c>
      <c r="I14" s="2">
        <v>3701.52</v>
      </c>
      <c r="J14" s="2">
        <v>12</v>
      </c>
      <c r="K14" s="2">
        <v>0</v>
      </c>
      <c r="L14" s="2">
        <v>1036.08</v>
      </c>
      <c r="M14" s="2" t="s">
        <v>31</v>
      </c>
      <c r="N14" s="1" t="str">
        <f t="shared" si="0"/>
        <v>Pete</v>
      </c>
      <c r="O14" s="1" t="str">
        <f t="shared" si="1"/>
        <v>China</v>
      </c>
      <c r="P14" s="1" t="str">
        <f t="shared" si="2"/>
        <v>ffice Su</v>
      </c>
      <c r="Q14" s="1" t="str">
        <f t="shared" si="3"/>
        <v>PETER FULLER</v>
      </c>
      <c r="R14" s="1" t="str">
        <f t="shared" si="4"/>
        <v>peter fuller</v>
      </c>
      <c r="S14" s="9" t="str">
        <f t="shared" si="5"/>
        <v>Peter Fuller</v>
      </c>
    </row>
    <row r="15" spans="1:24" ht="33.6" customHeight="1" x14ac:dyDescent="0.3">
      <c r="A15" s="8" t="s">
        <v>76</v>
      </c>
      <c r="B15" s="2" t="s">
        <v>77</v>
      </c>
      <c r="C15" s="3">
        <v>42071</v>
      </c>
      <c r="D15" s="2" t="s">
        <v>78</v>
      </c>
      <c r="E15" s="2" t="s">
        <v>79</v>
      </c>
      <c r="F15" s="2" t="s">
        <v>80</v>
      </c>
      <c r="G15" s="2" t="s">
        <v>51</v>
      </c>
      <c r="H15" s="2" t="s">
        <v>27</v>
      </c>
      <c r="I15" s="2">
        <v>1869.588</v>
      </c>
      <c r="J15" s="2">
        <v>4</v>
      </c>
      <c r="K15" s="2">
        <v>0.1</v>
      </c>
      <c r="L15" s="2"/>
      <c r="M15" s="2" t="s">
        <v>31</v>
      </c>
      <c r="N15" s="1" t="str">
        <f t="shared" si="0"/>
        <v xml:space="preserve">Ben </v>
      </c>
      <c r="O15" s="1" t="str">
        <f t="shared" si="1"/>
        <v>rance</v>
      </c>
      <c r="P15" s="1" t="str">
        <f t="shared" si="2"/>
        <v>ffice Su</v>
      </c>
      <c r="Q15" s="1" t="str">
        <f t="shared" si="3"/>
        <v>BEN PETERMAN</v>
      </c>
      <c r="R15" s="1" t="str">
        <f t="shared" si="4"/>
        <v>ben peterman</v>
      </c>
      <c r="S15" s="9" t="str">
        <f t="shared" si="5"/>
        <v>Ben Peterman</v>
      </c>
    </row>
    <row r="16" spans="1:24" ht="27.6" customHeight="1" x14ac:dyDescent="0.3">
      <c r="A16" s="8" t="s">
        <v>81</v>
      </c>
      <c r="B16" s="2" t="s">
        <v>82</v>
      </c>
      <c r="C16" s="2" t="s">
        <v>83</v>
      </c>
      <c r="D16" s="2" t="s">
        <v>45</v>
      </c>
      <c r="E16" s="2" t="s">
        <v>46</v>
      </c>
      <c r="F16" s="2" t="s">
        <v>47</v>
      </c>
      <c r="G16" s="2" t="s">
        <v>51</v>
      </c>
      <c r="H16" s="2" t="s">
        <v>84</v>
      </c>
      <c r="I16" s="2">
        <v>12.624000000000001</v>
      </c>
      <c r="J16" s="2">
        <v>2</v>
      </c>
      <c r="K16" s="2">
        <v>0.2</v>
      </c>
      <c r="L16" s="2">
        <v>-2.5247999999999999</v>
      </c>
      <c r="M16" s="2" t="s">
        <v>85</v>
      </c>
      <c r="N16" s="1" t="str">
        <f t="shared" si="0"/>
        <v>Aaro</v>
      </c>
      <c r="O16" s="1" t="str">
        <f t="shared" si="1"/>
        <v>tates</v>
      </c>
      <c r="P16" s="1" t="str">
        <f t="shared" si="2"/>
        <v>ffice Su</v>
      </c>
      <c r="Q16" s="1" t="str">
        <f t="shared" si="3"/>
        <v>AARON BERGMAN</v>
      </c>
      <c r="R16" s="1" t="str">
        <f t="shared" si="4"/>
        <v>aaron bergman</v>
      </c>
      <c r="S16" s="9" t="str">
        <f t="shared" si="5"/>
        <v>Aaron Bergman</v>
      </c>
    </row>
    <row r="17" spans="1:19" ht="36.6" customHeight="1" x14ac:dyDescent="0.3">
      <c r="A17" s="8" t="s">
        <v>86</v>
      </c>
      <c r="B17" s="3">
        <v>42225</v>
      </c>
      <c r="C17" s="2" t="s">
        <v>87</v>
      </c>
      <c r="D17" s="2"/>
      <c r="E17" s="2" t="s">
        <v>88</v>
      </c>
      <c r="F17" s="2" t="s">
        <v>89</v>
      </c>
      <c r="G17" s="2" t="s">
        <v>51</v>
      </c>
      <c r="H17" s="2" t="s">
        <v>84</v>
      </c>
      <c r="I17" s="2" t="s">
        <v>90</v>
      </c>
      <c r="J17" s="2">
        <v>14</v>
      </c>
      <c r="K17" s="2">
        <v>0</v>
      </c>
      <c r="L17" s="2">
        <v>3979.08</v>
      </c>
      <c r="M17" s="2" t="s">
        <v>85</v>
      </c>
      <c r="N17" s="1" t="str">
        <f t="shared" si="0"/>
        <v/>
      </c>
      <c r="O17" s="1" t="str">
        <f t="shared" si="1"/>
        <v>Italy</v>
      </c>
      <c r="P17" s="1" t="str">
        <f t="shared" si="2"/>
        <v>ffice Su</v>
      </c>
      <c r="Q17" s="1" t="str">
        <f t="shared" si="3"/>
        <v/>
      </c>
      <c r="R17" s="1" t="str">
        <f t="shared" si="4"/>
        <v/>
      </c>
      <c r="S17" s="9" t="str">
        <f t="shared" si="5"/>
        <v/>
      </c>
    </row>
    <row r="18" spans="1:19" ht="34.200000000000003" customHeight="1" x14ac:dyDescent="0.3">
      <c r="A18" s="8" t="s">
        <v>91</v>
      </c>
      <c r="B18" s="2" t="s">
        <v>92</v>
      </c>
      <c r="C18" s="3">
        <v>42006</v>
      </c>
      <c r="D18" s="2" t="s">
        <v>93</v>
      </c>
      <c r="E18" s="2" t="s">
        <v>17</v>
      </c>
      <c r="F18" s="2" t="s">
        <v>18</v>
      </c>
      <c r="G18" s="2"/>
      <c r="H18" s="2" t="s">
        <v>20</v>
      </c>
      <c r="I18" s="2">
        <v>2565.5940000000001</v>
      </c>
      <c r="J18" s="2">
        <v>9</v>
      </c>
      <c r="K18" s="2"/>
      <c r="L18" s="2"/>
      <c r="M18" s="2" t="s">
        <v>31</v>
      </c>
      <c r="N18" s="1" t="str">
        <f t="shared" si="0"/>
        <v xml:space="preserve">Jim </v>
      </c>
      <c r="O18" s="1" t="str">
        <f t="shared" si="1"/>
        <v>ralia</v>
      </c>
      <c r="P18" s="1" t="str">
        <f t="shared" si="2"/>
        <v/>
      </c>
      <c r="Q18" s="1" t="str">
        <f t="shared" si="3"/>
        <v>JIM SINK</v>
      </c>
      <c r="R18" s="1" t="str">
        <f t="shared" si="4"/>
        <v>jim sink</v>
      </c>
      <c r="S18" s="9" t="str">
        <f t="shared" si="5"/>
        <v>Jim Sink</v>
      </c>
    </row>
    <row r="19" spans="1:19" ht="25.8" customHeight="1" x14ac:dyDescent="0.3">
      <c r="A19" s="8" t="s">
        <v>94</v>
      </c>
      <c r="B19" s="3">
        <v>42136</v>
      </c>
      <c r="C19" s="3">
        <v>42197</v>
      </c>
      <c r="D19" s="2" t="s">
        <v>95</v>
      </c>
      <c r="E19" s="2" t="s">
        <v>96</v>
      </c>
      <c r="F19" s="2" t="s">
        <v>97</v>
      </c>
      <c r="G19" s="2" t="s">
        <v>51</v>
      </c>
      <c r="H19" s="2" t="s">
        <v>84</v>
      </c>
      <c r="I19" s="2">
        <v>3409.74</v>
      </c>
      <c r="J19" s="2">
        <v>6</v>
      </c>
      <c r="K19" s="2">
        <v>0</v>
      </c>
      <c r="L19" s="2">
        <v>818.28</v>
      </c>
      <c r="M19" s="2" t="s">
        <v>42</v>
      </c>
      <c r="N19" s="1" t="str">
        <f t="shared" si="0"/>
        <v>Rits</v>
      </c>
      <c r="O19" s="1" t="str">
        <f t="shared" si="1"/>
        <v>zania</v>
      </c>
      <c r="P19" s="1" t="str">
        <f t="shared" si="2"/>
        <v>ffice Su</v>
      </c>
      <c r="Q19" s="1" t="str">
        <f t="shared" si="3"/>
        <v>RITSA HIGHTOWER</v>
      </c>
      <c r="R19" s="1" t="str">
        <f t="shared" si="4"/>
        <v>ritsa hightower</v>
      </c>
      <c r="S19" s="9" t="str">
        <f t="shared" si="5"/>
        <v>Ritsa Hightower</v>
      </c>
    </row>
    <row r="20" spans="1:19" ht="25.2" customHeight="1" x14ac:dyDescent="0.3">
      <c r="A20" s="8" t="s">
        <v>98</v>
      </c>
      <c r="B20" s="3">
        <v>41494</v>
      </c>
      <c r="C20" s="3">
        <v>41555</v>
      </c>
      <c r="D20" s="1" t="s">
        <v>99</v>
      </c>
      <c r="E20" s="2"/>
      <c r="F20" s="2" t="s">
        <v>100</v>
      </c>
      <c r="G20" s="2" t="s">
        <v>37</v>
      </c>
      <c r="H20" s="2" t="s">
        <v>38</v>
      </c>
      <c r="I20" s="2">
        <v>1977.72</v>
      </c>
      <c r="J20" s="2">
        <v>4</v>
      </c>
      <c r="K20" s="2">
        <v>0</v>
      </c>
      <c r="L20" s="2">
        <v>276.83999999999997</v>
      </c>
      <c r="M20" s="2" t="s">
        <v>31</v>
      </c>
      <c r="N20" s="1" t="str">
        <f t="shared" si="0"/>
        <v xml:space="preserve">Ann </v>
      </c>
      <c r="O20" s="1" t="str">
        <f t="shared" si="1"/>
        <v/>
      </c>
      <c r="P20" s="1" t="str">
        <f t="shared" si="2"/>
        <v>urniture</v>
      </c>
      <c r="Q20" s="1" t="str">
        <f t="shared" si="3"/>
        <v>ANN BLUME</v>
      </c>
      <c r="R20" s="1" t="str">
        <f t="shared" si="4"/>
        <v>ann blume</v>
      </c>
      <c r="S20" s="9" t="str">
        <f t="shared" si="5"/>
        <v>Ann Blume</v>
      </c>
    </row>
    <row r="21" spans="1:19" ht="32.4" customHeight="1" x14ac:dyDescent="0.3">
      <c r="A21" s="8" t="s">
        <v>48</v>
      </c>
      <c r="B21" s="3">
        <v>41063</v>
      </c>
      <c r="C21" s="3">
        <v>41093</v>
      </c>
      <c r="D21" s="2" t="s">
        <v>45</v>
      </c>
      <c r="E21" s="2" t="s">
        <v>46</v>
      </c>
      <c r="F21" s="2" t="s">
        <v>49</v>
      </c>
      <c r="G21" s="2" t="s">
        <v>51</v>
      </c>
      <c r="H21" s="2" t="s">
        <v>84</v>
      </c>
      <c r="I21" s="2">
        <v>242.94</v>
      </c>
      <c r="J21" s="2">
        <v>3</v>
      </c>
      <c r="K21" s="2">
        <v>0</v>
      </c>
      <c r="L21" s="2">
        <v>4.8587999999999996</v>
      </c>
      <c r="M21" s="2" t="s">
        <v>42</v>
      </c>
      <c r="N21" s="1" t="str">
        <f t="shared" si="0"/>
        <v>Aaro</v>
      </c>
      <c r="O21" s="1" t="str">
        <f t="shared" si="1"/>
        <v>tates</v>
      </c>
      <c r="P21" s="1" t="str">
        <f t="shared" si="2"/>
        <v>ffice Su</v>
      </c>
      <c r="Q21" s="1" t="str">
        <f t="shared" si="3"/>
        <v>AARON BERGMAN</v>
      </c>
      <c r="R21" s="1" t="str">
        <f t="shared" si="4"/>
        <v>aaron bergman</v>
      </c>
      <c r="S21" s="9" t="str">
        <f t="shared" si="5"/>
        <v>Aaron Bergman</v>
      </c>
    </row>
    <row r="22" spans="1:19" ht="37.799999999999997" customHeight="1" x14ac:dyDescent="0.3">
      <c r="A22" s="8" t="s">
        <v>101</v>
      </c>
      <c r="B22" s="3">
        <v>40913</v>
      </c>
      <c r="C22" s="3">
        <v>40944</v>
      </c>
      <c r="D22" s="2" t="s">
        <v>102</v>
      </c>
      <c r="E22" s="2" t="s">
        <v>74</v>
      </c>
      <c r="F22" s="2" t="s">
        <v>103</v>
      </c>
      <c r="G22" s="2" t="s">
        <v>37</v>
      </c>
      <c r="H22" s="2" t="s">
        <v>50</v>
      </c>
      <c r="I22" s="2">
        <v>2754</v>
      </c>
      <c r="J22" s="2">
        <v>6</v>
      </c>
      <c r="K22" s="2">
        <v>0</v>
      </c>
      <c r="L22" s="2">
        <v>358.02</v>
      </c>
      <c r="M22" s="2" t="s">
        <v>31</v>
      </c>
      <c r="N22" s="1" t="str">
        <f t="shared" si="0"/>
        <v>Jaso</v>
      </c>
      <c r="O22" s="1" t="str">
        <f t="shared" si="1"/>
        <v>China</v>
      </c>
      <c r="P22" s="1" t="str">
        <f t="shared" si="2"/>
        <v>urniture</v>
      </c>
      <c r="Q22" s="1" t="str">
        <f t="shared" si="3"/>
        <v>JASON KLAMCZYNSKI</v>
      </c>
      <c r="R22" s="1" t="str">
        <f t="shared" si="4"/>
        <v>jason klamczynski</v>
      </c>
      <c r="S22" s="9" t="str">
        <f t="shared" si="5"/>
        <v>Jason Klamczynski</v>
      </c>
    </row>
    <row r="23" spans="1:19" ht="40.200000000000003" customHeight="1" x14ac:dyDescent="0.3">
      <c r="A23" s="8" t="s">
        <v>104</v>
      </c>
      <c r="B23" s="2" t="s">
        <v>105</v>
      </c>
      <c r="C23" s="3">
        <v>41642</v>
      </c>
      <c r="D23" s="2" t="s">
        <v>106</v>
      </c>
      <c r="E23" s="2" t="s">
        <v>107</v>
      </c>
      <c r="F23" s="2" t="s">
        <v>108</v>
      </c>
      <c r="G23" s="2" t="s">
        <v>51</v>
      </c>
      <c r="H23" s="2" t="s">
        <v>30</v>
      </c>
      <c r="I23" s="2">
        <v>5273.7</v>
      </c>
      <c r="J23" s="2">
        <v>10</v>
      </c>
      <c r="K23" s="2"/>
      <c r="L23" s="2">
        <v>1898.4</v>
      </c>
      <c r="M23" s="2" t="s">
        <v>42</v>
      </c>
      <c r="N23" s="1" t="str">
        <f t="shared" si="0"/>
        <v>Laur</v>
      </c>
      <c r="O23" s="1" t="str">
        <f t="shared" si="1"/>
        <v>ngdom</v>
      </c>
      <c r="P23" s="1" t="str">
        <f t="shared" si="2"/>
        <v>ffice Su</v>
      </c>
      <c r="Q23" s="1" t="str">
        <f t="shared" si="3"/>
        <v>LAUREL BELTRAN</v>
      </c>
      <c r="R23" s="1" t="str">
        <f t="shared" si="4"/>
        <v>laurel beltran</v>
      </c>
      <c r="S23" s="9" t="str">
        <f t="shared" si="5"/>
        <v>Laurel Beltran</v>
      </c>
    </row>
    <row r="24" spans="1:19" ht="33" customHeight="1" x14ac:dyDescent="0.3">
      <c r="A24" s="8" t="s">
        <v>109</v>
      </c>
      <c r="B24" s="2" t="s">
        <v>77</v>
      </c>
      <c r="C24" s="3">
        <v>42012</v>
      </c>
      <c r="D24" s="2" t="s">
        <v>110</v>
      </c>
      <c r="E24" s="2" t="s">
        <v>111</v>
      </c>
      <c r="F24" s="2" t="s">
        <v>112</v>
      </c>
      <c r="G24" s="2" t="s">
        <v>19</v>
      </c>
      <c r="H24" s="2" t="s">
        <v>27</v>
      </c>
      <c r="I24" s="2">
        <v>1713.84</v>
      </c>
      <c r="J24" s="2">
        <v>4</v>
      </c>
      <c r="K24" s="2">
        <v>0</v>
      </c>
      <c r="L24" s="2">
        <v>445.52</v>
      </c>
      <c r="M24" s="2" t="s">
        <v>31</v>
      </c>
      <c r="N24" s="1" t="str">
        <f t="shared" si="0"/>
        <v>Nare</v>
      </c>
      <c r="O24" s="1" t="str">
        <f t="shared" si="1"/>
        <v>exico</v>
      </c>
      <c r="P24" s="1" t="str">
        <f t="shared" si="2"/>
        <v>echnolog</v>
      </c>
      <c r="Q24" s="1" t="str">
        <f t="shared" si="3"/>
        <v>NARESJ PATEL</v>
      </c>
      <c r="R24" s="1" t="str">
        <f t="shared" si="4"/>
        <v>naresj patel</v>
      </c>
      <c r="S24" s="9" t="str">
        <f t="shared" si="5"/>
        <v>Naresj Patel</v>
      </c>
    </row>
    <row r="25" spans="1:19" ht="28.2" customHeight="1" x14ac:dyDescent="0.3">
      <c r="A25" s="14" t="s">
        <v>113</v>
      </c>
      <c r="B25" s="15">
        <v>42133</v>
      </c>
      <c r="C25" s="15">
        <v>42225</v>
      </c>
      <c r="D25" s="16" t="s">
        <v>114</v>
      </c>
      <c r="E25" s="16" t="s">
        <v>115</v>
      </c>
      <c r="F25" s="16" t="s">
        <v>112</v>
      </c>
      <c r="G25" s="16" t="s">
        <v>37</v>
      </c>
      <c r="H25" s="16" t="s">
        <v>84</v>
      </c>
      <c r="I25" s="16">
        <v>2106.4960000000001</v>
      </c>
      <c r="J25" s="16">
        <v>8</v>
      </c>
      <c r="K25" s="16">
        <v>0.2</v>
      </c>
      <c r="L25" s="16">
        <v>526.49599999999998</v>
      </c>
      <c r="M25" s="16" t="s">
        <v>31</v>
      </c>
      <c r="N25" s="17" t="str">
        <f t="shared" si="0"/>
        <v>Vale</v>
      </c>
      <c r="O25" s="17" t="str">
        <f t="shared" si="1"/>
        <v>vador</v>
      </c>
      <c r="P25" s="17" t="str">
        <f t="shared" si="2"/>
        <v>urniture</v>
      </c>
      <c r="Q25" s="17" t="str">
        <f t="shared" si="3"/>
        <v>VALERIE DOMINGUEZ</v>
      </c>
      <c r="R25" s="17" t="str">
        <f t="shared" si="4"/>
        <v>valerie dominguez</v>
      </c>
      <c r="S25" s="18" t="str">
        <f t="shared" si="5"/>
        <v>Valerie Dominguez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AKILA THARANI -TASK 5.xlsx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2025-10-17T19:12:11Z</dcterms:created>
  <dcterms:modified xsi:type="dcterms:W3CDTF">2025-11-14T06:52:57Z</dcterms:modified>
</cp:coreProperties>
</file>