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199" documentId="8_{0CB8A38F-EF17-4EC7-B834-41C3355D49B9}" xr6:coauthVersionLast="47" xr6:coauthVersionMax="47" xr10:uidLastSave="{D962F11E-2385-4C68-9AD6-522BDF53FED6}"/>
  <bookViews>
    <workbookView xWindow="-108" yWindow="-108" windowWidth="23256" windowHeight="12456" xr2:uid="{4C980DCD-917A-458D-99CE-0B246FCE7208}"/>
  </bookViews>
  <sheets>
    <sheet name="AKILA THARANI -DAY 6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" i="1"/>
  <c r="Q5" i="1"/>
  <c r="Q24" i="1"/>
  <c r="Q23" i="1"/>
  <c r="Q12" i="1"/>
  <c r="Q16" i="1"/>
  <c r="Q22" i="1"/>
  <c r="Q13" i="1"/>
  <c r="Q9" i="1"/>
  <c r="Q17" i="1"/>
  <c r="Q7" i="1"/>
  <c r="Q19" i="1"/>
  <c r="Q10" i="1"/>
  <c r="Q27" i="1"/>
  <c r="Q11" i="1"/>
  <c r="Q20" i="1"/>
  <c r="Q14" i="1"/>
  <c r="Q26" i="1"/>
  <c r="Q2" i="1"/>
  <c r="Q4" i="1"/>
  <c r="Q18" i="1"/>
  <c r="Q21" i="1"/>
  <c r="Q3" i="1"/>
  <c r="Q15" i="1"/>
  <c r="Q8" i="1"/>
  <c r="Q25" i="1"/>
  <c r="Q6" i="1"/>
  <c r="K28" i="1"/>
  <c r="I28" i="1"/>
  <c r="N5" i="1"/>
  <c r="N24" i="1"/>
  <c r="N23" i="1"/>
  <c r="N12" i="1"/>
  <c r="N16" i="1"/>
  <c r="N22" i="1"/>
  <c r="N13" i="1"/>
  <c r="N9" i="1"/>
  <c r="N17" i="1"/>
  <c r="N7" i="1"/>
  <c r="N19" i="1"/>
  <c r="N10" i="1"/>
  <c r="N27" i="1"/>
  <c r="N11" i="1"/>
  <c r="N20" i="1"/>
  <c r="N14" i="1"/>
  <c r="N26" i="1"/>
  <c r="N2" i="1"/>
  <c r="N4" i="1"/>
  <c r="N18" i="1"/>
  <c r="N21" i="1"/>
  <c r="N3" i="1"/>
  <c r="N15" i="1"/>
  <c r="N8" i="1"/>
  <c r="N25" i="1"/>
  <c r="N6" i="1"/>
  <c r="O5" i="1"/>
  <c r="O16" i="1"/>
  <c r="O19" i="1"/>
  <c r="O27" i="1"/>
  <c r="O11" i="1"/>
  <c r="O18" i="1"/>
  <c r="O15" i="1"/>
  <c r="O25" i="1"/>
  <c r="M5" i="1"/>
  <c r="M24" i="1"/>
  <c r="M23" i="1"/>
  <c r="M12" i="1"/>
  <c r="M16" i="1"/>
  <c r="M22" i="1"/>
  <c r="M13" i="1"/>
  <c r="M9" i="1"/>
  <c r="M17" i="1"/>
  <c r="M7" i="1"/>
  <c r="M19" i="1"/>
  <c r="M10" i="1"/>
  <c r="M27" i="1"/>
  <c r="M11" i="1"/>
  <c r="M20" i="1"/>
  <c r="M14" i="1"/>
  <c r="M26" i="1"/>
  <c r="M2" i="1"/>
  <c r="M4" i="1"/>
  <c r="M18" i="1"/>
  <c r="M21" i="1"/>
  <c r="M3" i="1"/>
  <c r="M15" i="1"/>
  <c r="M8" i="1"/>
  <c r="M25" i="1"/>
  <c r="M6" i="1"/>
  <c r="G28" i="1"/>
  <c r="O17" i="1" s="1"/>
  <c r="F28" i="1"/>
  <c r="E28" i="1"/>
  <c r="O9" i="1" l="1"/>
  <c r="O4" i="1"/>
  <c r="O13" i="1"/>
  <c r="O2" i="1"/>
  <c r="O26" i="1"/>
  <c r="O14" i="1"/>
  <c r="O12" i="1"/>
  <c r="O20" i="1"/>
  <c r="O23" i="1"/>
  <c r="O6" i="1"/>
  <c r="O24" i="1"/>
  <c r="O22" i="1"/>
  <c r="O8" i="1"/>
  <c r="O10" i="1"/>
  <c r="O3" i="1"/>
  <c r="O7" i="1"/>
  <c r="O21" i="1"/>
</calcChain>
</file>

<file path=xl/sharedStrings.xml><?xml version="1.0" encoding="utf-8"?>
<sst xmlns="http://schemas.openxmlformats.org/spreadsheetml/2006/main" count="152" uniqueCount="86">
  <si>
    <t>Day 6 – Data Validation &amp; Cleaning Intro</t>
  </si>
  <si>
    <t>Add drop-down lists.</t>
  </si>
  <si>
    <t>Detect duplicates and remove them.</t>
  </si>
  <si>
    <t>Handle blank cells using filters or formulas.</t>
  </si>
  <si>
    <t>Task: Ensure your dataset has no duplicates and missing values handled.</t>
  </si>
  <si>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</si>
  <si>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</si>
  <si>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</si>
  <si>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</si>
  <si>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</si>
  <si>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</si>
  <si>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</si>
  <si>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</si>
  <si>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</si>
  <si>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</si>
  <si>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</si>
  <si>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</si>
  <si>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</si>
  <si>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</si>
  <si>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</si>
  <si>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</si>
  <si>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</si>
  <si>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</si>
  <si>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</si>
  <si>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</si>
  <si>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</si>
  <si>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</si>
  <si>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</si>
  <si>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</si>
  <si>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</si>
  <si>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</si>
  <si>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</si>
  <si>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</si>
  <si>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</si>
  <si>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</si>
  <si>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</si>
  <si>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</si>
  <si>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</si>
  <si>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</si>
  <si>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</si>
  <si>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</si>
  <si>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</si>
  <si>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</si>
  <si>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</si>
  <si>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</si>
  <si>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</si>
  <si>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</si>
  <si>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</si>
  <si>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</si>
  <si>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</si>
  <si>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</si>
  <si>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</si>
  <si>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</si>
  <si>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</si>
  <si>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</si>
  <si>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</si>
  <si>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</si>
  <si>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</si>
  <si>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</si>
  <si>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</si>
  <si>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</si>
  <si>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</si>
  <si>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</si>
  <si>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</si>
  <si>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</si>
  <si>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</si>
  <si>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</si>
  <si>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</si>
  <si>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</si>
  <si>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</si>
  <si>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</si>
  <si>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</si>
  <si>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</si>
  <si>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</si>
  <si>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COUNTBLANK</t>
  </si>
  <si>
    <t>Unit_Sales 2</t>
  </si>
  <si>
    <t>Unit_Price 2</t>
  </si>
  <si>
    <t>Discount % 2</t>
  </si>
  <si>
    <t>Order Date 2</t>
  </si>
  <si>
    <t>Segment 2</t>
  </si>
  <si>
    <t xml:space="preserve">Solution </t>
  </si>
  <si>
    <t>1) No duplicates in this dataset</t>
  </si>
  <si>
    <t>3) Missing values in numerical term calculated using IF(ISBLANK ,AVERAGE , …)</t>
  </si>
  <si>
    <t>4) Missing values in categorical term calculated with IF(ISBLANK, "Unknown" , …)</t>
  </si>
  <si>
    <t xml:space="preserve">5) Green colour table creted to find and calculate missing value </t>
  </si>
  <si>
    <t xml:space="preserve">2) Blank cells found through COUNTBLANK formula and calculated below the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</si>
</sst>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2">
    <dxf>
      <numFmt numFmtId="0" formatCode="General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CB7F7-FFCC-4173-A7D0-495BB35EEE83}" name="Table1" displayName="Table1" ref="A1:Q27" totalsRowShown="0" headerRowDxfId="21" dataDxfId="19" headerRowBorderDxfId="20" tableBorderDxfId="18" totalsRowBorderDxfId="17">
  <sortState xmlns:xlrd2="http://schemas.microsoft.com/office/spreadsheetml/2017/richdata2" ref="A2:Q27">
    <sortCondition ref="B1:B27"/>
  </sortState>
  <tableColumns count="17">
    <tableColumn id="1" xr3:uid="{A3A2F7D6-246F-4941-AB12-E587A206C66E}" name="Order_ID" dataDxfId="16"/>
    <tableColumn id="2" xr3:uid="{EC89A2CD-57A0-40B1-A250-A55838849D99}" name="Customer_Name" dataDxfId="15"/>
    <tableColumn id="3" xr3:uid="{912B57CC-55DF-46BB-A297-938C61C1ADAA}" name="Product_Category" dataDxfId="14"/>
    <tableColumn id="4" xr3:uid="{0552F40C-5CEC-4A7F-8C65-23144B4BFB02}" name="Product_Name" dataDxfId="13"/>
    <tableColumn id="5" xr3:uid="{C732C2F5-E29E-408A-AB9A-FA369D6AF549}" name="Units_Sold" dataDxfId="12"/>
    <tableColumn id="6" xr3:uid="{FF6640FD-0A99-4B60-BB21-CB89B7D636C1}" name="Unit_Price" dataDxfId="11"/>
    <tableColumn id="7" xr3:uid="{33A614CD-38DE-46F6-B6D5-1CFF077239A6}" name="Discount_%" dataDxfId="10"/>
    <tableColumn id="8" xr3:uid="{C8CD66C1-AA06-4492-82C6-20C075B5EC90}" name="Sales_Amount" dataDxfId="9"/>
    <tableColumn id="9" xr3:uid="{B3428E98-4B31-488D-ACDD-A8244AA87828}" name="Order_Date" dataDxfId="8"/>
    <tableColumn id="10" xr3:uid="{B3882663-19B6-40A1-8A94-03EF7A76D81B}" name="City" dataDxfId="7"/>
    <tableColumn id="11" xr3:uid="{E83A3995-17BC-44C1-8B85-900C8B131083}" name="Segment" dataDxfId="6"/>
    <tableColumn id="12" xr3:uid="{35B7A64E-6EB9-4254-928E-5ED56341ECA0}" name="Profit" dataDxfId="5"/>
    <tableColumn id="13" xr3:uid="{6CABA616-5E50-46CB-BDB5-4C3E29FDF42D}" name="Unit_Sales 2" dataDxfId="4">
      <calculatedColumnFormula>IF(ISBLANK(E2), AVERAGE($E$2:$E$27), E2)</calculatedColumnFormula>
    </tableColumn>
    <tableColumn id="14" xr3:uid="{ECBC2E11-5CE0-4AFF-BCD0-C9A7844A43DE}" name="Unit_Price 2" dataDxfId="3">
      <calculatedColumnFormula>IF(ISBLANK(F2), AVERAGE($F$2:$F$27),F2)</calculatedColumnFormula>
    </tableColumn>
    <tableColumn id="15" xr3:uid="{F33D47A2-76EE-4DD6-BA16-D9848AD878CC}" name="Discount % 2" dataDxfId="2">
      <calculatedColumnFormula>IF(ISBLANK(G2), AVERAGE($G$3:$G$28), G2)</calculatedColumnFormula>
    </tableColumn>
    <tableColumn id="17" xr3:uid="{1B5F7B87-9478-486B-8B37-D292B30E0A01}" name="Order Date 2" dataDxfId="1">
      <calculatedColumnFormula>IF(ISBLANK(I2), AVERAGE($I$2:$I$27), I2)</calculatedColumnFormula>
    </tableColumn>
    <tableColumn id="18" xr3:uid="{1D2B0A3D-D786-4D87-B4E0-D9199818C932}" name="Segment 2" dataDxfId="0">
      <calculatedColumnFormula>IF(ISBLANK(K2), "Unknown", K2)</calculatedColumnFormula>
    </tableColumn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F992-8659-46CE-9ECA-3EDE0BFC5556}">
  <dimension ref="A1:Q39"/>
  <sheetViews>
    <sheetView tabSelected="1" topLeftCell="C1" zoomScale="63" zoomScaleNormal="63" workbookViewId="0">
      <selection activeCell="Q3" sqref="Q3"/>
    </sheetView>
  </sheetViews>
  <sheetFormatPr defaultRowHeight="14.4" x14ac:dyDescent="0.3"/>
  <cols>
    <col min="1" max="1" width="16.77734375" customWidth="1"/>
    <col min="2" max="2" width="24.88671875" customWidth="1"/>
    <col min="3" max="3" width="18.6640625" customWidth="1"/>
    <col min="4" max="4" width="19.33203125" customWidth="1"/>
    <col min="5" max="5" width="16.21875" customWidth="1"/>
    <col min="6" max="6" width="28.77734375" customWidth="1"/>
    <col min="7" max="7" width="14.88671875" customWidth="1"/>
    <col min="8" max="8" width="25.33203125" customWidth="1"/>
    <col min="9" max="9" width="38.109375" customWidth="1"/>
    <col min="10" max="10" width="17.77734375" customWidth="1"/>
    <col min="11" max="11" width="19.6640625" customWidth="1"/>
    <col min="12" max="12" width="23.33203125" customWidth="1"/>
    <col min="13" max="13" width="14.88671875" customWidth="1"/>
    <col min="14" max="14" width="15.88671875" customWidth="1"/>
    <col min="15" max="15" width="18.5546875" customWidth="1"/>
    <col min="16" max="16" width="15.21875" customWidth="1"/>
    <col min="17" max="17" width="15.88671875" customWidth="1"/>
  </cols>
  <sheetData>
    <row r="1" spans="1:17" ht="31.8" customHeight="1" x14ac:dyDescent="0.3">
      <c r="A1" s="13" t="s">
        <v>5</v>
      </c>
      <c r="B1" s="14" t="s">
        <v>6</v>
      </c>
      <c r="C1" s="23" t="s">
        <v>7</v>
      </c>
      <c r="D1" s="23" t="s">
        <v>8</v>
      </c>
      <c r="E1" s="23" t="s">
        <v>9</v>
      </c>
      <c r="F1" s="23" t="s">
        <v>10</v>
      </c>
      <c r="G1" s="23" t="s">
        <v>11</v>
      </c>
      <c r="H1" s="23" t="s">
        <v>12</v>
      </c>
      <c r="I1" s="23" t="s">
        <v>13</v>
      </c>
      <c r="J1" s="23" t="s">
        <v>14</v>
      </c>
      <c r="K1" s="23" t="s">
        <v>15</v>
      </c>
      <c r="L1" s="24" t="s">
        <v>16</v>
      </c>
      <c r="M1" s="21" t="s">
        <v>75</v>
      </c>
      <c r="N1" s="22" t="s">
        <v>76</v>
      </c>
      <c r="O1" s="22" t="s">
        <v>77</v>
      </c>
      <c r="P1" s="22" t="s">
        <v>78</v>
      </c>
      <c r="Q1" s="22" t="s">
        <v>79</v>
      </c>
    </row>
    <row r="2" spans="1:17" x14ac:dyDescent="0.3">
      <c r="A2" s="1">
        <v>1017</v>
      </c>
      <c r="B2" s="6" t="s">
        <v>62</v>
      </c>
      <c r="C2" s="7" t="s">
        <v>38</v>
      </c>
      <c r="D2" s="7" t="s">
        <v>49</v>
      </c>
      <c r="E2" s="7">
        <v>3</v>
      </c>
      <c r="F2" s="7">
        <v>468.53</v>
      </c>
      <c r="G2" s="7"/>
      <c r="H2" s="7">
        <v>0</v>
      </c>
      <c r="I2" s="7"/>
      <c r="J2" s="7" t="s">
        <v>27</v>
      </c>
      <c r="K2" s="7" t="s">
        <v>28</v>
      </c>
      <c r="L2" s="3">
        <v>-195.65</v>
      </c>
      <c r="M2" s="18">
        <f t="shared" ref="M2:M27" si="0">IF(ISBLANK(E2), AVERAGE($E$2:$E$27), E2)</f>
        <v>3</v>
      </c>
      <c r="N2" s="19">
        <f t="shared" ref="N2:N27" si="1">IF(ISBLANK(F2), AVERAGE($F$2:$F$27),F2)</f>
        <v>468.53</v>
      </c>
      <c r="O2" s="19">
        <f t="shared" ref="O2:O27" si="2">IF(ISBLANK(G2), AVERAGE($G$3:$G$28), G2)</f>
        <v>2.8424999999999998</v>
      </c>
      <c r="P2" s="19">
        <f>IF(ISBLANK(I2), AVERAGE($I$2:$I$27), I2)</f>
        <v>45641</v>
      </c>
      <c r="Q2" s="19" t="str">
        <f t="shared" ref="Q2:Q27" si="3">IF(ISBLANK(K2), "Unknown", K2)</f>
        <v>B2B</v>
      </c>
    </row>
    <row r="3" spans="1:17" x14ac:dyDescent="0.3">
      <c r="A3" s="1">
        <v>1021</v>
      </c>
      <c r="B3" s="6" t="s">
        <v>67</v>
      </c>
      <c r="C3" s="7" t="s">
        <v>43</v>
      </c>
      <c r="D3" s="7" t="s">
        <v>68</v>
      </c>
      <c r="E3" s="7"/>
      <c r="F3" s="7"/>
      <c r="G3" s="7"/>
      <c r="H3" s="7">
        <v>0</v>
      </c>
      <c r="I3" s="8">
        <v>45417</v>
      </c>
      <c r="J3" s="7" t="s">
        <v>32</v>
      </c>
      <c r="K3" s="7" t="s">
        <v>28</v>
      </c>
      <c r="L3" s="3">
        <v>-705.72</v>
      </c>
      <c r="M3" s="19">
        <f t="shared" si="0"/>
        <v>2.1875</v>
      </c>
      <c r="N3" s="19">
        <f t="shared" si="1"/>
        <v>2550.9681818181821</v>
      </c>
      <c r="O3" s="19">
        <f t="shared" si="2"/>
        <v>2.8424999999999998</v>
      </c>
      <c r="P3" s="19">
        <f t="shared" ref="P3:P27" si="4">IF(ISBLANK(I3), AVERAGE($I$2:$I$27), I3)</f>
        <v>45417</v>
      </c>
      <c r="Q3" s="19" t="str">
        <f t="shared" si="3"/>
        <v>B2B</v>
      </c>
    </row>
    <row r="4" spans="1:17" x14ac:dyDescent="0.3">
      <c r="A4" s="1">
        <v>1018</v>
      </c>
      <c r="B4" s="6" t="s">
        <v>63</v>
      </c>
      <c r="C4" s="7" t="s">
        <v>43</v>
      </c>
      <c r="D4" s="7" t="s">
        <v>64</v>
      </c>
      <c r="E4" s="7">
        <v>4</v>
      </c>
      <c r="F4" s="7"/>
      <c r="G4" s="7"/>
      <c r="H4" s="7">
        <v>0</v>
      </c>
      <c r="I4" s="8">
        <v>45395</v>
      </c>
      <c r="J4" s="7" t="s">
        <v>32</v>
      </c>
      <c r="K4" s="7" t="s">
        <v>21</v>
      </c>
      <c r="L4" s="3">
        <v>2102.56</v>
      </c>
      <c r="M4" s="19">
        <f t="shared" si="0"/>
        <v>4</v>
      </c>
      <c r="N4" s="19">
        <f t="shared" si="1"/>
        <v>2550.9681818181821</v>
      </c>
      <c r="O4" s="19">
        <f t="shared" si="2"/>
        <v>2.8424999999999998</v>
      </c>
      <c r="P4" s="19">
        <f t="shared" si="4"/>
        <v>45395</v>
      </c>
      <c r="Q4" s="19" t="str">
        <f t="shared" si="3"/>
        <v>B2C</v>
      </c>
    </row>
    <row r="5" spans="1:17" x14ac:dyDescent="0.3">
      <c r="A5" s="1">
        <v>1000</v>
      </c>
      <c r="B5" s="6" t="s">
        <v>17</v>
      </c>
      <c r="C5" s="7" t="s">
        <v>18</v>
      </c>
      <c r="D5" s="7" t="s">
        <v>19</v>
      </c>
      <c r="E5" s="7"/>
      <c r="F5" s="7">
        <v>842</v>
      </c>
      <c r="G5" s="7">
        <v>0.6</v>
      </c>
      <c r="H5" s="7">
        <v>0</v>
      </c>
      <c r="I5" s="8">
        <v>45715</v>
      </c>
      <c r="J5" s="7" t="s">
        <v>20</v>
      </c>
      <c r="K5" s="7" t="s">
        <v>21</v>
      </c>
      <c r="L5" s="3">
        <v>2137.4499999999998</v>
      </c>
      <c r="M5" s="19">
        <f t="shared" si="0"/>
        <v>2.1875</v>
      </c>
      <c r="N5" s="19">
        <f t="shared" si="1"/>
        <v>842</v>
      </c>
      <c r="O5" s="19">
        <f t="shared" si="2"/>
        <v>0.6</v>
      </c>
      <c r="P5" s="19">
        <f t="shared" si="4"/>
        <v>45715</v>
      </c>
      <c r="Q5" s="19" t="str">
        <f t="shared" si="3"/>
        <v>B2C</v>
      </c>
    </row>
    <row r="6" spans="1:17" x14ac:dyDescent="0.3">
      <c r="A6" s="1">
        <v>1025</v>
      </c>
      <c r="B6" s="6" t="s">
        <v>73</v>
      </c>
      <c r="C6" s="7" t="s">
        <v>18</v>
      </c>
      <c r="D6" s="7" t="s">
        <v>54</v>
      </c>
      <c r="E6" s="7">
        <v>4</v>
      </c>
      <c r="F6" s="7">
        <v>4595.08</v>
      </c>
      <c r="G6" s="7"/>
      <c r="H6" s="7">
        <v>0</v>
      </c>
      <c r="I6" s="8">
        <v>45856</v>
      </c>
      <c r="J6" s="7" t="s">
        <v>45</v>
      </c>
      <c r="K6" s="7"/>
      <c r="L6" s="3">
        <v>330.82</v>
      </c>
      <c r="M6" s="19">
        <f t="shared" si="0"/>
        <v>4</v>
      </c>
      <c r="N6" s="19">
        <f t="shared" si="1"/>
        <v>4595.08</v>
      </c>
      <c r="O6" s="19">
        <f t="shared" si="2"/>
        <v>2.8424999999999998</v>
      </c>
      <c r="P6" s="19">
        <f t="shared" si="4"/>
        <v>45856</v>
      </c>
      <c r="Q6" s="19" t="str">
        <f t="shared" si="3"/>
        <v>Unknown</v>
      </c>
    </row>
    <row r="7" spans="1:17" x14ac:dyDescent="0.3">
      <c r="A7" s="1">
        <v>1009</v>
      </c>
      <c r="B7" s="6" t="s">
        <v>48</v>
      </c>
      <c r="C7" s="7" t="s">
        <v>38</v>
      </c>
      <c r="D7" s="7" t="s">
        <v>49</v>
      </c>
      <c r="E7" s="7">
        <v>5</v>
      </c>
      <c r="F7" s="7"/>
      <c r="G7" s="7"/>
      <c r="H7" s="7">
        <v>0</v>
      </c>
      <c r="I7" s="8">
        <v>45858</v>
      </c>
      <c r="J7" s="7" t="s">
        <v>45</v>
      </c>
      <c r="K7" s="7" t="s">
        <v>28</v>
      </c>
      <c r="L7" s="3">
        <v>-972.73</v>
      </c>
      <c r="M7" s="19">
        <f t="shared" si="0"/>
        <v>5</v>
      </c>
      <c r="N7" s="19">
        <f t="shared" si="1"/>
        <v>2550.9681818181821</v>
      </c>
      <c r="O7" s="19">
        <f t="shared" si="2"/>
        <v>2.8424999999999998</v>
      </c>
      <c r="P7" s="19">
        <f t="shared" si="4"/>
        <v>45858</v>
      </c>
      <c r="Q7" s="19" t="str">
        <f t="shared" si="3"/>
        <v>B2B</v>
      </c>
    </row>
    <row r="8" spans="1:17" x14ac:dyDescent="0.3">
      <c r="A8" s="1">
        <v>1023</v>
      </c>
      <c r="B8" s="6" t="s">
        <v>70</v>
      </c>
      <c r="C8" s="7" t="s">
        <v>30</v>
      </c>
      <c r="D8" s="7" t="s">
        <v>71</v>
      </c>
      <c r="E8" s="7"/>
      <c r="F8" s="7"/>
      <c r="G8" s="7"/>
      <c r="H8" s="7">
        <v>0</v>
      </c>
      <c r="I8" s="7"/>
      <c r="J8" s="7" t="s">
        <v>27</v>
      </c>
      <c r="K8" s="7"/>
      <c r="L8" s="3">
        <v>-875.51</v>
      </c>
      <c r="M8" s="19">
        <f t="shared" si="0"/>
        <v>2.1875</v>
      </c>
      <c r="N8" s="19">
        <f t="shared" si="1"/>
        <v>2550.9681818181821</v>
      </c>
      <c r="O8" s="19">
        <f t="shared" si="2"/>
        <v>2.8424999999999998</v>
      </c>
      <c r="P8" s="19">
        <f t="shared" si="4"/>
        <v>45641</v>
      </c>
      <c r="Q8" s="19" t="str">
        <f t="shared" si="3"/>
        <v>Unknown</v>
      </c>
    </row>
    <row r="9" spans="1:17" x14ac:dyDescent="0.3">
      <c r="A9" s="1">
        <v>1007</v>
      </c>
      <c r="B9" s="6" t="s">
        <v>42</v>
      </c>
      <c r="C9" s="7" t="s">
        <v>43</v>
      </c>
      <c r="D9" s="7" t="s">
        <v>44</v>
      </c>
      <c r="E9" s="7"/>
      <c r="F9" s="7">
        <v>3669.56</v>
      </c>
      <c r="G9" s="7"/>
      <c r="H9" s="7">
        <v>0</v>
      </c>
      <c r="I9" s="7"/>
      <c r="J9" s="7" t="s">
        <v>45</v>
      </c>
      <c r="K9" s="7" t="s">
        <v>21</v>
      </c>
      <c r="L9" s="3">
        <v>2490.0100000000002</v>
      </c>
      <c r="M9" s="19">
        <f t="shared" si="0"/>
        <v>2.1875</v>
      </c>
      <c r="N9" s="19">
        <f t="shared" si="1"/>
        <v>3669.56</v>
      </c>
      <c r="O9" s="19">
        <f t="shared" si="2"/>
        <v>2.8424999999999998</v>
      </c>
      <c r="P9" s="19">
        <f t="shared" si="4"/>
        <v>45641</v>
      </c>
      <c r="Q9" s="19" t="str">
        <f t="shared" si="3"/>
        <v>B2C</v>
      </c>
    </row>
    <row r="10" spans="1:17" x14ac:dyDescent="0.3">
      <c r="A10" s="1">
        <v>1011</v>
      </c>
      <c r="B10" s="6" t="s">
        <v>52</v>
      </c>
      <c r="C10" s="7" t="s">
        <v>34</v>
      </c>
      <c r="D10" s="7" t="s">
        <v>35</v>
      </c>
      <c r="E10" s="7">
        <v>0</v>
      </c>
      <c r="F10" s="7"/>
      <c r="G10" s="7"/>
      <c r="H10" s="7">
        <v>0</v>
      </c>
      <c r="I10" s="8">
        <v>45804</v>
      </c>
      <c r="J10" s="7" t="s">
        <v>20</v>
      </c>
      <c r="K10" s="7" t="s">
        <v>21</v>
      </c>
      <c r="L10" s="3">
        <v>1370.67</v>
      </c>
      <c r="M10" s="19">
        <f t="shared" si="0"/>
        <v>0</v>
      </c>
      <c r="N10" s="19">
        <f t="shared" si="1"/>
        <v>2550.9681818181821</v>
      </c>
      <c r="O10" s="19">
        <f t="shared" si="2"/>
        <v>2.8424999999999998</v>
      </c>
      <c r="P10" s="19">
        <f t="shared" si="4"/>
        <v>45804</v>
      </c>
      <c r="Q10" s="19" t="str">
        <f t="shared" si="3"/>
        <v>B2C</v>
      </c>
    </row>
    <row r="11" spans="1:17" x14ac:dyDescent="0.3">
      <c r="A11" s="1">
        <v>1013</v>
      </c>
      <c r="B11" s="6" t="s">
        <v>55</v>
      </c>
      <c r="C11" s="7" t="s">
        <v>38</v>
      </c>
      <c r="D11" s="7" t="s">
        <v>39</v>
      </c>
      <c r="E11" s="7"/>
      <c r="F11" s="7"/>
      <c r="G11" s="7">
        <v>0.62</v>
      </c>
      <c r="H11" s="7">
        <v>0</v>
      </c>
      <c r="I11" s="7"/>
      <c r="J11" s="7" t="s">
        <v>51</v>
      </c>
      <c r="K11" s="7" t="s">
        <v>21</v>
      </c>
      <c r="L11" s="3">
        <v>1279.58</v>
      </c>
      <c r="M11" s="19">
        <f t="shared" si="0"/>
        <v>2.1875</v>
      </c>
      <c r="N11" s="19">
        <f t="shared" si="1"/>
        <v>2550.9681818181821</v>
      </c>
      <c r="O11" s="19">
        <f t="shared" si="2"/>
        <v>0.62</v>
      </c>
      <c r="P11" s="19">
        <f t="shared" si="4"/>
        <v>45641</v>
      </c>
      <c r="Q11" s="19" t="str">
        <f t="shared" si="3"/>
        <v>B2C</v>
      </c>
    </row>
    <row r="12" spans="1:17" x14ac:dyDescent="0.3">
      <c r="A12" s="1">
        <v>1003</v>
      </c>
      <c r="B12" s="6" t="s">
        <v>29</v>
      </c>
      <c r="C12" s="7" t="s">
        <v>30</v>
      </c>
      <c r="D12" s="7" t="s">
        <v>31</v>
      </c>
      <c r="E12" s="7">
        <v>2</v>
      </c>
      <c r="F12" s="7">
        <v>2962.27</v>
      </c>
      <c r="G12" s="7"/>
      <c r="H12" s="7">
        <v>0</v>
      </c>
      <c r="I12" s="8">
        <v>45826</v>
      </c>
      <c r="J12" s="7" t="s">
        <v>32</v>
      </c>
      <c r="K12" s="7" t="s">
        <v>28</v>
      </c>
      <c r="L12" s="3">
        <v>2296.5</v>
      </c>
      <c r="M12" s="19">
        <f t="shared" si="0"/>
        <v>2</v>
      </c>
      <c r="N12" s="19">
        <f t="shared" si="1"/>
        <v>2962.27</v>
      </c>
      <c r="O12" s="19">
        <f t="shared" si="2"/>
        <v>2.8424999999999998</v>
      </c>
      <c r="P12" s="19">
        <f t="shared" si="4"/>
        <v>45826</v>
      </c>
      <c r="Q12" s="19" t="str">
        <f t="shared" si="3"/>
        <v>B2B</v>
      </c>
    </row>
    <row r="13" spans="1:17" x14ac:dyDescent="0.3">
      <c r="A13" s="1">
        <v>1006</v>
      </c>
      <c r="B13" s="6" t="s">
        <v>40</v>
      </c>
      <c r="C13" s="7" t="s">
        <v>18</v>
      </c>
      <c r="D13" s="7" t="s">
        <v>41</v>
      </c>
      <c r="E13" s="7">
        <v>1</v>
      </c>
      <c r="F13" s="7">
        <v>2060.85</v>
      </c>
      <c r="G13" s="7"/>
      <c r="H13" s="7">
        <v>0</v>
      </c>
      <c r="I13" s="8">
        <v>45384</v>
      </c>
      <c r="J13" s="7" t="s">
        <v>23</v>
      </c>
      <c r="K13" s="7" t="s">
        <v>28</v>
      </c>
      <c r="L13" s="3">
        <v>198.36</v>
      </c>
      <c r="M13" s="19">
        <f t="shared" si="0"/>
        <v>1</v>
      </c>
      <c r="N13" s="19">
        <f t="shared" si="1"/>
        <v>2060.85</v>
      </c>
      <c r="O13" s="19">
        <f t="shared" si="2"/>
        <v>2.8424999999999998</v>
      </c>
      <c r="P13" s="19">
        <f t="shared" si="4"/>
        <v>45384</v>
      </c>
      <c r="Q13" s="19" t="str">
        <f t="shared" si="3"/>
        <v>B2B</v>
      </c>
    </row>
    <row r="14" spans="1:17" x14ac:dyDescent="0.3">
      <c r="A14" s="1">
        <v>1015</v>
      </c>
      <c r="B14" s="6" t="s">
        <v>58</v>
      </c>
      <c r="C14" s="7" t="s">
        <v>30</v>
      </c>
      <c r="D14" s="7" t="s">
        <v>59</v>
      </c>
      <c r="E14" s="7">
        <v>6</v>
      </c>
      <c r="F14" s="7"/>
      <c r="G14" s="7"/>
      <c r="H14" s="7">
        <v>0</v>
      </c>
      <c r="I14" s="7"/>
      <c r="J14" s="7" t="s">
        <v>23</v>
      </c>
      <c r="K14" s="7"/>
      <c r="L14" s="3">
        <v>793.8</v>
      </c>
      <c r="M14" s="19">
        <f t="shared" si="0"/>
        <v>6</v>
      </c>
      <c r="N14" s="19">
        <f t="shared" si="1"/>
        <v>2550.9681818181821</v>
      </c>
      <c r="O14" s="19">
        <f t="shared" si="2"/>
        <v>2.8424999999999998</v>
      </c>
      <c r="P14" s="19">
        <f t="shared" si="4"/>
        <v>45641</v>
      </c>
      <c r="Q14" s="19" t="str">
        <f t="shared" si="3"/>
        <v>Unknown</v>
      </c>
    </row>
    <row r="15" spans="1:17" x14ac:dyDescent="0.3">
      <c r="A15" s="1">
        <v>1031</v>
      </c>
      <c r="B15" s="6" t="s">
        <v>69</v>
      </c>
      <c r="C15" s="7" t="s">
        <v>43</v>
      </c>
      <c r="D15" s="7" t="s">
        <v>68</v>
      </c>
      <c r="E15" s="7"/>
      <c r="F15" s="7">
        <v>1872.05</v>
      </c>
      <c r="G15" s="7">
        <v>0.15</v>
      </c>
      <c r="H15" s="7">
        <v>0</v>
      </c>
      <c r="I15" s="8">
        <v>45804</v>
      </c>
      <c r="J15" s="7" t="s">
        <v>51</v>
      </c>
      <c r="K15" s="7" t="s">
        <v>21</v>
      </c>
      <c r="L15" s="3">
        <v>-863.9</v>
      </c>
      <c r="M15" s="19">
        <f t="shared" si="0"/>
        <v>2.1875</v>
      </c>
      <c r="N15" s="19">
        <f t="shared" si="1"/>
        <v>1872.05</v>
      </c>
      <c r="O15" s="19">
        <f t="shared" si="2"/>
        <v>0.15</v>
      </c>
      <c r="P15" s="19">
        <f t="shared" si="4"/>
        <v>45804</v>
      </c>
      <c r="Q15" s="19" t="str">
        <f t="shared" si="3"/>
        <v>B2C</v>
      </c>
    </row>
    <row r="16" spans="1:17" x14ac:dyDescent="0.3">
      <c r="A16" s="1">
        <v>1004</v>
      </c>
      <c r="B16" s="6" t="s">
        <v>33</v>
      </c>
      <c r="C16" s="7" t="s">
        <v>34</v>
      </c>
      <c r="D16" s="7" t="s">
        <v>35</v>
      </c>
      <c r="E16" s="7">
        <v>1</v>
      </c>
      <c r="F16" s="7">
        <v>2881.07</v>
      </c>
      <c r="G16" s="7">
        <v>0.27</v>
      </c>
      <c r="H16" s="7">
        <v>2103.1799999999998</v>
      </c>
      <c r="I16" s="7"/>
      <c r="J16" s="7" t="s">
        <v>36</v>
      </c>
      <c r="K16" s="7"/>
      <c r="L16" s="3">
        <v>63.66</v>
      </c>
      <c r="M16" s="19">
        <f t="shared" si="0"/>
        <v>1</v>
      </c>
      <c r="N16" s="19">
        <f t="shared" si="1"/>
        <v>2881.07</v>
      </c>
      <c r="O16" s="19">
        <f t="shared" si="2"/>
        <v>0.27</v>
      </c>
      <c r="P16" s="19">
        <f t="shared" si="4"/>
        <v>45641</v>
      </c>
      <c r="Q16" s="19" t="str">
        <f t="shared" si="3"/>
        <v>Unknown</v>
      </c>
    </row>
    <row r="17" spans="1:17" x14ac:dyDescent="0.3">
      <c r="A17" s="1">
        <v>1008</v>
      </c>
      <c r="B17" s="6" t="s">
        <v>46</v>
      </c>
      <c r="C17" s="7" t="s">
        <v>34</v>
      </c>
      <c r="D17" s="7" t="s">
        <v>47</v>
      </c>
      <c r="E17" s="7"/>
      <c r="F17" s="7"/>
      <c r="G17" s="7"/>
      <c r="H17" s="7">
        <v>0</v>
      </c>
      <c r="I17" s="7"/>
      <c r="J17" s="7" t="s">
        <v>23</v>
      </c>
      <c r="K17" s="7" t="s">
        <v>21</v>
      </c>
      <c r="L17" s="3">
        <v>-886.8</v>
      </c>
      <c r="M17" s="19">
        <f t="shared" si="0"/>
        <v>2.1875</v>
      </c>
      <c r="N17" s="19">
        <f t="shared" si="1"/>
        <v>2550.9681818181821</v>
      </c>
      <c r="O17" s="19">
        <f t="shared" si="2"/>
        <v>2.8424999999999998</v>
      </c>
      <c r="P17" s="19">
        <f t="shared" si="4"/>
        <v>45641</v>
      </c>
      <c r="Q17" s="19" t="str">
        <f t="shared" si="3"/>
        <v>B2C</v>
      </c>
    </row>
    <row r="18" spans="1:17" x14ac:dyDescent="0.3">
      <c r="A18" s="1">
        <v>1019</v>
      </c>
      <c r="B18" s="6" t="s">
        <v>65</v>
      </c>
      <c r="C18" s="7" t="s">
        <v>43</v>
      </c>
      <c r="D18" s="7" t="s">
        <v>44</v>
      </c>
      <c r="E18" s="7"/>
      <c r="F18" s="7">
        <v>4064.4</v>
      </c>
      <c r="G18" s="7">
        <v>0.7</v>
      </c>
      <c r="H18" s="7">
        <v>0</v>
      </c>
      <c r="I18" s="8">
        <v>45587</v>
      </c>
      <c r="J18" s="7" t="s">
        <v>23</v>
      </c>
      <c r="K18" s="7" t="s">
        <v>21</v>
      </c>
      <c r="L18" s="3">
        <v>877.21</v>
      </c>
      <c r="M18" s="19">
        <f t="shared" si="0"/>
        <v>2.1875</v>
      </c>
      <c r="N18" s="19">
        <f t="shared" si="1"/>
        <v>4064.4</v>
      </c>
      <c r="O18" s="19">
        <f t="shared" si="2"/>
        <v>0.7</v>
      </c>
      <c r="P18" s="19">
        <f t="shared" si="4"/>
        <v>45587</v>
      </c>
      <c r="Q18" s="19" t="str">
        <f t="shared" si="3"/>
        <v>B2C</v>
      </c>
    </row>
    <row r="19" spans="1:17" x14ac:dyDescent="0.3">
      <c r="A19" s="1">
        <v>1010</v>
      </c>
      <c r="B19" s="6" t="s">
        <v>50</v>
      </c>
      <c r="C19" s="7" t="s">
        <v>38</v>
      </c>
      <c r="D19" s="7" t="s">
        <v>39</v>
      </c>
      <c r="E19" s="7">
        <v>0</v>
      </c>
      <c r="F19" s="7">
        <v>4007.02</v>
      </c>
      <c r="G19" s="7"/>
      <c r="H19" s="7">
        <v>0</v>
      </c>
      <c r="I19" s="7"/>
      <c r="J19" s="7" t="s">
        <v>51</v>
      </c>
      <c r="K19" s="7" t="s">
        <v>28</v>
      </c>
      <c r="L19" s="3">
        <v>-950.38</v>
      </c>
      <c r="M19" s="19">
        <f t="shared" si="0"/>
        <v>0</v>
      </c>
      <c r="N19" s="19">
        <f t="shared" si="1"/>
        <v>4007.02</v>
      </c>
      <c r="O19" s="19">
        <f t="shared" si="2"/>
        <v>2.8424999999999998</v>
      </c>
      <c r="P19" s="19">
        <f t="shared" si="4"/>
        <v>45641</v>
      </c>
      <c r="Q19" s="19" t="str">
        <f t="shared" si="3"/>
        <v>B2B</v>
      </c>
    </row>
    <row r="20" spans="1:17" x14ac:dyDescent="0.3">
      <c r="A20" s="1">
        <v>1014</v>
      </c>
      <c r="B20" s="6" t="s">
        <v>56</v>
      </c>
      <c r="C20" s="7" t="s">
        <v>30</v>
      </c>
      <c r="D20" s="7" t="s">
        <v>31</v>
      </c>
      <c r="E20" s="7">
        <v>4</v>
      </c>
      <c r="F20" s="7"/>
      <c r="G20" s="7"/>
      <c r="H20" s="7">
        <v>0</v>
      </c>
      <c r="I20" s="8">
        <v>45556</v>
      </c>
      <c r="J20" s="7" t="s">
        <v>57</v>
      </c>
      <c r="K20" s="7"/>
      <c r="L20" s="3">
        <v>-889.25</v>
      </c>
      <c r="M20" s="19">
        <f t="shared" si="0"/>
        <v>4</v>
      </c>
      <c r="N20" s="19">
        <f t="shared" si="1"/>
        <v>2550.9681818181821</v>
      </c>
      <c r="O20" s="19">
        <f t="shared" si="2"/>
        <v>2.8424999999999998</v>
      </c>
      <c r="P20" s="19">
        <f t="shared" si="4"/>
        <v>45556</v>
      </c>
      <c r="Q20" s="19" t="str">
        <f t="shared" si="3"/>
        <v>Unknown</v>
      </c>
    </row>
    <row r="21" spans="1:17" x14ac:dyDescent="0.3">
      <c r="A21" s="1">
        <v>1020</v>
      </c>
      <c r="B21" s="6" t="s">
        <v>66</v>
      </c>
      <c r="C21" s="7" t="s">
        <v>18</v>
      </c>
      <c r="D21" s="7" t="s">
        <v>41</v>
      </c>
      <c r="E21" s="7">
        <v>1</v>
      </c>
      <c r="F21" s="7"/>
      <c r="G21" s="7"/>
      <c r="H21" s="7">
        <v>0</v>
      </c>
      <c r="I21" s="8">
        <v>45735</v>
      </c>
      <c r="J21" s="7" t="s">
        <v>51</v>
      </c>
      <c r="K21" s="7" t="s">
        <v>28</v>
      </c>
      <c r="L21" s="3">
        <v>669.75</v>
      </c>
      <c r="M21" s="19">
        <f t="shared" si="0"/>
        <v>1</v>
      </c>
      <c r="N21" s="19">
        <f t="shared" si="1"/>
        <v>2550.9681818181821</v>
      </c>
      <c r="O21" s="19">
        <f t="shared" si="2"/>
        <v>2.8424999999999998</v>
      </c>
      <c r="P21" s="19">
        <f t="shared" si="4"/>
        <v>45735</v>
      </c>
      <c r="Q21" s="19" t="str">
        <f t="shared" si="3"/>
        <v>B2B</v>
      </c>
    </row>
    <row r="22" spans="1:17" x14ac:dyDescent="0.3">
      <c r="A22" s="1">
        <v>1005</v>
      </c>
      <c r="B22" s="6" t="s">
        <v>37</v>
      </c>
      <c r="C22" s="7" t="s">
        <v>38</v>
      </c>
      <c r="D22" s="7" t="s">
        <v>39</v>
      </c>
      <c r="E22" s="7"/>
      <c r="F22" s="7"/>
      <c r="G22" s="7"/>
      <c r="H22" s="7">
        <v>0</v>
      </c>
      <c r="I22" s="8">
        <v>45265</v>
      </c>
      <c r="J22" s="7" t="s">
        <v>27</v>
      </c>
      <c r="K22" s="7" t="s">
        <v>28</v>
      </c>
      <c r="L22" s="3">
        <v>1477.73</v>
      </c>
      <c r="M22" s="19">
        <f t="shared" si="0"/>
        <v>2.1875</v>
      </c>
      <c r="N22" s="19">
        <f t="shared" si="1"/>
        <v>2550.9681818181821</v>
      </c>
      <c r="O22" s="19">
        <f t="shared" si="2"/>
        <v>2.8424999999999998</v>
      </c>
      <c r="P22" s="19">
        <f t="shared" si="4"/>
        <v>45265</v>
      </c>
      <c r="Q22" s="19" t="str">
        <f t="shared" si="3"/>
        <v>B2B</v>
      </c>
    </row>
    <row r="23" spans="1:17" ht="22.2" customHeight="1" x14ac:dyDescent="0.3">
      <c r="A23" s="1">
        <v>1002</v>
      </c>
      <c r="B23" s="6" t="s">
        <v>24</v>
      </c>
      <c r="C23" s="7" t="s">
        <v>25</v>
      </c>
      <c r="D23" s="7" t="s">
        <v>26</v>
      </c>
      <c r="E23" s="7">
        <v>1</v>
      </c>
      <c r="F23" s="7">
        <v>637.82000000000005</v>
      </c>
      <c r="G23" s="7"/>
      <c r="H23" s="7">
        <v>0</v>
      </c>
      <c r="I23" s="8">
        <v>45659</v>
      </c>
      <c r="J23" s="7" t="s">
        <v>27</v>
      </c>
      <c r="K23" s="7" t="s">
        <v>28</v>
      </c>
      <c r="L23" s="3">
        <v>-158.03</v>
      </c>
      <c r="M23" s="19">
        <f t="shared" si="0"/>
        <v>1</v>
      </c>
      <c r="N23" s="19">
        <f t="shared" si="1"/>
        <v>637.82000000000005</v>
      </c>
      <c r="O23" s="19">
        <f t="shared" si="2"/>
        <v>2.8424999999999998</v>
      </c>
      <c r="P23" s="19">
        <f t="shared" si="4"/>
        <v>45659</v>
      </c>
      <c r="Q23" s="19" t="str">
        <f t="shared" si="3"/>
        <v>B2B</v>
      </c>
    </row>
    <row r="24" spans="1:17" x14ac:dyDescent="0.3">
      <c r="A24" s="1">
        <v>1001</v>
      </c>
      <c r="B24" s="6" t="s">
        <v>22</v>
      </c>
      <c r="C24" s="7" t="s">
        <v>18</v>
      </c>
      <c r="D24" s="7" t="s">
        <v>19</v>
      </c>
      <c r="E24" s="7">
        <v>1</v>
      </c>
      <c r="F24" s="7"/>
      <c r="G24" s="7"/>
      <c r="H24" s="7">
        <v>0</v>
      </c>
      <c r="I24" s="8">
        <v>45853</v>
      </c>
      <c r="J24" s="7" t="s">
        <v>23</v>
      </c>
      <c r="K24" s="7"/>
      <c r="L24" s="3">
        <v>1588.15</v>
      </c>
      <c r="M24" s="19">
        <f t="shared" si="0"/>
        <v>1</v>
      </c>
      <c r="N24" s="19">
        <f t="shared" si="1"/>
        <v>2550.9681818181821</v>
      </c>
      <c r="O24" s="19">
        <f t="shared" si="2"/>
        <v>2.8424999999999998</v>
      </c>
      <c r="P24" s="19">
        <f t="shared" si="4"/>
        <v>45853</v>
      </c>
      <c r="Q24" s="19" t="str">
        <f t="shared" si="3"/>
        <v>Unknown</v>
      </c>
    </row>
    <row r="25" spans="1:17" ht="15.6" customHeight="1" x14ac:dyDescent="0.3">
      <c r="A25" s="1">
        <v>1024</v>
      </c>
      <c r="B25" s="6" t="s">
        <v>72</v>
      </c>
      <c r="C25" s="7" t="s">
        <v>25</v>
      </c>
      <c r="D25" s="7" t="s">
        <v>26</v>
      </c>
      <c r="E25" s="7">
        <v>-2</v>
      </c>
      <c r="F25" s="7"/>
      <c r="G25" s="7">
        <v>1.19</v>
      </c>
      <c r="H25" s="7">
        <v>0</v>
      </c>
      <c r="I25" s="8">
        <v>45707</v>
      </c>
      <c r="J25" s="7" t="s">
        <v>20</v>
      </c>
      <c r="K25" s="7" t="s">
        <v>28</v>
      </c>
      <c r="L25" s="3">
        <v>491.1</v>
      </c>
      <c r="M25" s="19">
        <f t="shared" si="0"/>
        <v>-2</v>
      </c>
      <c r="N25" s="19">
        <f t="shared" si="1"/>
        <v>2550.9681818181821</v>
      </c>
      <c r="O25" s="19">
        <f t="shared" si="2"/>
        <v>1.19</v>
      </c>
      <c r="P25" s="19">
        <f t="shared" si="4"/>
        <v>45707</v>
      </c>
      <c r="Q25" s="19" t="str">
        <f t="shared" si="3"/>
        <v>B2B</v>
      </c>
    </row>
    <row r="26" spans="1:17" ht="15.6" customHeight="1" x14ac:dyDescent="0.3">
      <c r="A26" s="1">
        <v>1016</v>
      </c>
      <c r="B26" s="6" t="s">
        <v>60</v>
      </c>
      <c r="C26" s="7" t="s">
        <v>38</v>
      </c>
      <c r="D26" s="7" t="s">
        <v>39</v>
      </c>
      <c r="E26" s="7"/>
      <c r="F26" s="7"/>
      <c r="G26" s="7"/>
      <c r="H26" s="7">
        <v>0</v>
      </c>
      <c r="I26" s="8">
        <v>45591</v>
      </c>
      <c r="J26" s="7" t="s">
        <v>61</v>
      </c>
      <c r="K26" s="7" t="s">
        <v>28</v>
      </c>
      <c r="L26" s="3">
        <v>1881.89</v>
      </c>
      <c r="M26" s="19">
        <f t="shared" si="0"/>
        <v>2.1875</v>
      </c>
      <c r="N26" s="19">
        <f t="shared" si="1"/>
        <v>2550.9681818181821</v>
      </c>
      <c r="O26" s="19">
        <f t="shared" si="2"/>
        <v>2.8424999999999998</v>
      </c>
      <c r="P26" s="19">
        <f t="shared" si="4"/>
        <v>45591</v>
      </c>
      <c r="Q26" s="19" t="str">
        <f t="shared" si="3"/>
        <v>B2B</v>
      </c>
    </row>
    <row r="27" spans="1:17" x14ac:dyDescent="0.3">
      <c r="A27" s="2">
        <v>1012</v>
      </c>
      <c r="B27" s="9" t="s">
        <v>53</v>
      </c>
      <c r="C27" s="10" t="s">
        <v>18</v>
      </c>
      <c r="D27" s="10" t="s">
        <v>54</v>
      </c>
      <c r="E27" s="10">
        <v>4</v>
      </c>
      <c r="F27" s="10"/>
      <c r="G27" s="10">
        <v>0.21</v>
      </c>
      <c r="H27" s="10">
        <v>0</v>
      </c>
      <c r="I27" s="15">
        <v>45526</v>
      </c>
      <c r="J27" s="10" t="s">
        <v>23</v>
      </c>
      <c r="K27" s="10"/>
      <c r="L27" s="4">
        <v>843.61</v>
      </c>
      <c r="M27" s="20">
        <f t="shared" si="0"/>
        <v>4</v>
      </c>
      <c r="N27" s="19">
        <f t="shared" si="1"/>
        <v>2550.9681818181821</v>
      </c>
      <c r="O27" s="19">
        <f t="shared" si="2"/>
        <v>0.21</v>
      </c>
      <c r="P27" s="19">
        <f t="shared" si="4"/>
        <v>45526</v>
      </c>
      <c r="Q27" s="19" t="str">
        <f t="shared" si="3"/>
        <v>Unknown</v>
      </c>
    </row>
    <row r="28" spans="1:17" ht="27" customHeight="1" x14ac:dyDescent="0.3">
      <c r="D28" s="11" t="s">
        <v>74</v>
      </c>
      <c r="E28" s="12">
        <f>COUNTBLANK(E2:E27)</f>
        <v>10</v>
      </c>
      <c r="F28" s="12">
        <f>COUNTBLANK(F2:F27)</f>
        <v>15</v>
      </c>
      <c r="G28" s="12">
        <f>COUNTBLANK(G2:G27)</f>
        <v>19</v>
      </c>
      <c r="H28" s="16"/>
      <c r="I28" s="12">
        <f>COUNTBLANK(I2:I27)</f>
        <v>8</v>
      </c>
      <c r="J28" s="16"/>
      <c r="K28" s="12">
        <f>COUNTBLANK(K2:K27)</f>
        <v>7</v>
      </c>
    </row>
    <row r="29" spans="1:17" x14ac:dyDescent="0.3">
      <c r="J29" s="5"/>
      <c r="K29" s="17"/>
    </row>
    <row r="31" spans="1:17" x14ac:dyDescent="0.3">
      <c r="C31" t="s">
        <v>0</v>
      </c>
    </row>
    <row r="32" spans="1:17" x14ac:dyDescent="0.3">
      <c r="C32" t="s">
        <v>1</v>
      </c>
    </row>
    <row r="33" spans="3:9" x14ac:dyDescent="0.3">
      <c r="H33" s="25" t="s">
        <v>80</v>
      </c>
    </row>
    <row r="34" spans="3:9" x14ac:dyDescent="0.3">
      <c r="I34" t="s">
        <v>81</v>
      </c>
    </row>
    <row r="35" spans="3:9" x14ac:dyDescent="0.3">
      <c r="C35" t="s">
        <v>2</v>
      </c>
      <c r="I35" t="s">
        <v>85</v>
      </c>
    </row>
    <row r="36" spans="3:9" x14ac:dyDescent="0.3">
      <c r="I36" t="s">
        <v>82</v>
      </c>
    </row>
    <row r="37" spans="3:9" x14ac:dyDescent="0.3">
      <c r="I37" t="s">
        <v>83</v>
      </c>
    </row>
    <row r="38" spans="3:9" x14ac:dyDescent="0.3">
      <c r="C38" t="s">
        <v>3</v>
      </c>
      <c r="I38" t="s">
        <v>84</v>
      </c>
    </row>
    <row r="39" spans="3:9" x14ac:dyDescent="0.3">
      <c r="C39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AKILA THARANI -DAY 6.xlsx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2025-10-18T18:39:00Z</dcterms:created>
  <dcterms:modified xsi:type="dcterms:W3CDTF">2025-11-14T06:54:58Z</dcterms:modified>
</cp:coreProperties>
</file>