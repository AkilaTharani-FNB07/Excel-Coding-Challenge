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275" documentId="8_{0BEC80ED-9956-40AC-820F-E9CE0DCE7551}" xr6:coauthVersionLast="47" xr6:coauthVersionMax="47" xr10:uidLastSave="{DF7DFC2A-4C18-4408-A8DC-85319420DA06}"/>
  <bookViews>
    <workbookView xWindow="-108" yWindow="-108" windowWidth="23256" windowHeight="12456" xr2:uid="{3FB91890-5DCD-4940-A69B-1FC285404624}"/>
  </bookViews>
  <sheets>
    <sheet name="Sheet1" sheetId="1" r:id="rId1"/>
    <sheet name="Sheet2" sheetId="3" r:id="rId2"/>
    <sheet name="Sheet3" sheetId="4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<sst xmlns="http://schemas.openxmlformats.org/spreadsheetml/2006/main" count="185" uniqueCount="105">
  <si>
    <t>Accessories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</si>
  <si>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</si>
  <si>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</si>
  <si>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</si>
  <si>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</si>
  <si>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</si>
  <si>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</si>
  <si>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</si>
  <si>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</si>
  <si>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</si>
  <si>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</si>
  <si>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</si>
  <si>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</si>
  <si>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</si>
  <si>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</si>
  <si>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</si>
  <si>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</si>
  <si>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</si>
  <si>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</si>
  <si>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</si>
  <si>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</si>
  <si>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</si>
  <si>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</si>
  <si>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</si>
  <si>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</si>
  <si>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</si>
  <si>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</si>
  <si>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</si>
  <si>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</si>
  <si>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</si>
  <si>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</si>
  <si>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</si>
  <si>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</si>
  <si>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</si>
  <si>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</si>
  <si>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</si>
  <si>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</si>
  <si>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</si>
  <si>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</si>
  <si>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</si>
  <si>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</si>
  <si>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</si>
  <si>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</si>
  <si>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</si>
  <si>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</si>
  <si>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</si>
  <si>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</si>
  <si>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</si>
  <si>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</si>
  <si>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</si>
  <si>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</si>
  <si>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</si>
  <si>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</si>
  <si>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</si>
  <si>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</si>
  <si>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</si>
  <si>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</si>
  <si>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</si>
  <si>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</si>
  <si>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</si>
  <si>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</si>
  <si>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</si>
  <si>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</si>
  <si>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</si>
  <si>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</si>
  <si>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</si>
  <si>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</si>
  <si>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</si>
  <si>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</si>
  <si>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</si>
  <si>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</si>
  <si>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</si>
  <si>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</si>
  <si>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</si>
  <si>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</si>
  <si>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</si>
  <si>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</si>
  <si>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</si>
  <si>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</si>
  <si>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</si>
  <si>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</si>
  <si>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</si>
  <si>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</si>
  <si>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</si>
  <si>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</si>
  <si>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</si>
  <si>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</si>
  <si>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</si>
  <si>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</si>
  <si>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</si>
  <si>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</si>
  <si>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</si>
  <si>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</si>
  <si>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</si>
  <si>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Order Priority</t>
  </si>
  <si>
    <t>Row Labels</t>
  </si>
  <si>
    <t>(blank)</t>
  </si>
  <si>
    <t>Grand Total</t>
  </si>
  <si>
    <t>Average of Sales</t>
  </si>
  <si>
    <t>Unknown</t>
  </si>
  <si>
    <t>Count of Sales</t>
  </si>
  <si>
    <t>Day 16 – Pivot Tables (Part 2)</t>
  </si>
  <si>
    <t>Connect multiple tables.</t>
  </si>
  <si>
    <t>Group data by date, category, etc.</t>
  </si>
  <si>
    <r>
      <t>Task:</t>
    </r>
    <r>
      <rPr>
        <sz val="13.95"/>
        <color rgb="FF000000"/>
        <rFont val="Arial"/>
        <family val="2"/>
      </rPr>
      <t xml:space="preserve"> Create one PivotChart linked to your PivotTable.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</si>
</sst>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[AKILA THARANI TASK 16.xlsx]Sheet2!PivotTable2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Average Sales Based on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85311741692659E-2"/>
          <c:y val="8.7870660213007531E-2"/>
          <c:w val="0.64736634631697643"/>
          <c:h val="0.9121293194704253"/>
        </c:manualLayout>
      </c:layout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2416.7483999999999</c:v>
                </c:pt>
                <c:pt idx="1">
                  <c:v>2248.3679999999999</c:v>
                </c:pt>
                <c:pt idx="2">
                  <c:v>3276.0551999999998</c:v>
                </c:pt>
                <c:pt idx="3">
                  <c:v>2565.5940000000001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24C-46FC-B212-4DBD78AF3D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[AKILA THARANI TASK 16.xlsx]Sheet3!PivotTable3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Based on Country</a:t>
            </a:r>
          </a:p>
          <a:p>
            <a:pPr>
              <a:defRPr/>
            </a:pPr>
            <a:r>
              <a:rPr lang="en-IN"/>
              <a:t> 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7622478041308667"/>
          <c:y val="2.9871629682653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0147866691082"/>
          <c:y val="0.16317251580665815"/>
          <c:w val="0.49216356131355676"/>
          <c:h val="0.77573546433843532"/>
        </c:manualLayout>
      </c:layout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Sheet3!$A$4:$A$16</c:f>
              <c:strCache>
                <c:ptCount val="12"/>
                <c:pt idx="0">
                  <c:v>Afghanistan</c:v>
                </c:pt>
                <c:pt idx="1">
                  <c:v>Australia</c:v>
                </c:pt>
                <c:pt idx="2">
                  <c:v>Brazil</c:v>
                </c:pt>
                <c:pt idx="3">
                  <c:v>China</c:v>
                </c:pt>
                <c:pt idx="4">
                  <c:v>France</c:v>
                </c:pt>
                <c:pt idx="5">
                  <c:v>Germany</c:v>
                </c:pt>
                <c:pt idx="6">
                  <c:v>Italy</c:v>
                </c:pt>
                <c:pt idx="7">
                  <c:v>New Zealand</c:v>
                </c:pt>
                <c:pt idx="8">
                  <c:v>Saudi Arabia</c:v>
                </c:pt>
                <c:pt idx="9">
                  <c:v>Tanzania</c:v>
                </c:pt>
                <c:pt idx="10">
                  <c:v>United States</c:v>
                </c:pt>
                <c:pt idx="11">
                  <c:v>(blank)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4A-46DB-A86C-75662278A2F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</xdr:row>
      <xdr:rowOff>121920</xdr:rowOff>
    </xdr:from>
    <xdr:to>
      <xdr:col>14</xdr:col>
      <xdr:colOff>53340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2CCC6-C639-161D-8693-1549C6BFA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5</xdr:row>
      <xdr:rowOff>57150</xdr:rowOff>
    </xdr:from>
    <xdr:to>
      <xdr:col>12</xdr:col>
      <xdr:colOff>137160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2C929-BD45-E174-BE82-FD0199BEB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LA" refreshedDate="45963.665380092592" createdVersion="8" refreshedVersion="8" minRefreshableVersion="3" recordCount="18" xr:uid="{DA70A17F-FCE3-4BF0-8DA7-D15E53355AB8}">
  <cacheSource type="worksheet">
    <worksheetSource ref="A1:K19" sheet="Sheet1"/>
  </cacheSource>
  <cacheFields count="11">
    <cacheField name="Order ID" numFmtId="0">
      <sharedItems containsBlank="1"/>
    </cacheField>
    <cacheField name="Order Date" numFmtId="0">
      <sharedItems containsDate="1" containsBlank="1" containsMixedTypes="1" minDate="2012-06-03T00:00:00" maxDate="2015-08-10T00:00:00" count="17">
        <s v="10/17/14 0:00"/>
        <s v="1/28/14 0:00"/>
        <d v="2014-05-11T00:00:00"/>
        <s v="6/28/14 0:00"/>
        <d v="2012-06-11T00:00:00"/>
        <m/>
        <d v="2014-11-11T00:00:00"/>
        <d v="2012-06-03T00:00:00"/>
        <s v="4/19/13 0:00"/>
        <s v="12/26/12 0:00"/>
        <s v="11/13/13 0:00"/>
        <d v="2014-06-06T00:00:00"/>
        <s v="7/31/15 0:00"/>
        <s v="2/19/12 0:00"/>
        <d v="2015-08-09T00:00:00"/>
        <s v="1/31/15 0:00"/>
        <d v="2015-05-12T00:00:00"/>
      </sharedItems>
    </cacheField>
    <cacheField name="Ship Date" numFmtId="0">
      <sharedItems containsDate="1" containsBlank="1" containsMixedTypes="1" minDate="2012-07-03T00:00:00" maxDate="2015-07-13T00:00:00"/>
    </cacheField>
    <cacheField name="Customer Name" numFmtId="0">
      <sharedItems containsBlank="1"/>
    </cacheField>
    <cacheField name="Country" numFmtId="0">
      <sharedItems containsBlank="1" count="12">
        <s v="Australia"/>
        <s v="Germany"/>
        <m/>
        <s v="New Zealand"/>
        <s v="United States"/>
        <s v="Afghanistan"/>
        <s v="Saudi Arabia"/>
        <s v="Brazil"/>
        <s v="China"/>
        <s v="France"/>
        <s v="Italy"/>
        <s v="Tanzania"/>
      </sharedItems>
    </cacheField>
    <cacheField name="Region" numFmtId="0">
      <sharedItems containsBlank="1"/>
    </cacheField>
    <cacheField name="Category" numFmtId="0">
      <sharedItems containsBlank="1" count="4">
        <s v="Technology"/>
        <s v="Furniture"/>
        <s v="Office Supplies"/>
        <m/>
      </sharedItems>
    </cacheField>
    <cacheField name="Sub-Category" numFmtId="0">
      <sharedItems/>
    </cacheField>
    <cacheField name="Sales" numFmtId="0">
      <sharedItems containsMixedTypes="1" containsNumber="1" minValue="12.624000000000001" maxValue="5244.84" count="18">
        <n v="5175.1710000000003"/>
        <n v="2892.51"/>
        <n v="2832.96"/>
        <n v="2862.6750000000002"/>
        <n v="1822.08"/>
        <n v="5244.84"/>
        <n v="341.96"/>
        <n v="48.712000000000003"/>
        <s v="17.94#"/>
        <n v="4626.1499999999996"/>
        <n v="2616.96"/>
        <s v="2221.8#"/>
        <n v="3701.52"/>
        <n v="1869.588"/>
        <n v="12.624000000000001"/>
        <s v="7958.58#"/>
        <n v="2565.5940000000001"/>
        <n v="3409.74"/>
      </sharedItems>
    </cacheField>
    <cacheField name="Quantity" numFmtId="0">
      <sharedItems containsMixedTypes="1" containsNumber="1" containsInteger="1" minValue="1" maxValue="14" count="12">
        <n v="9"/>
        <n v="5"/>
        <n v="8"/>
        <n v="4"/>
        <s v="6.0#"/>
        <n v="2"/>
        <n v="1"/>
        <n v="3"/>
        <s v="unknown"/>
        <n v="12"/>
        <n v="14"/>
        <n v="6"/>
      </sharedItems>
    </cacheField>
    <cacheField name="Order 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IN-2014-CR127307-41929"/>
    <x v="0"/>
    <s v="10/18/14 0:00"/>
    <s v="Craig Reiter"/>
    <x v="0"/>
    <s v="Oceania"/>
    <x v="0"/>
    <s v="Accessories"/>
    <x v="0"/>
    <x v="0"/>
    <s v="Medium"/>
  </r>
  <r>
    <s v="ES-2014-KM1637548-41667"/>
    <x v="1"/>
    <s v="1/30/14 0:00"/>
    <s v="Katherine Murray"/>
    <x v="1"/>
    <m/>
    <x v="0"/>
    <s v="Chairs"/>
    <x v="1"/>
    <x v="1"/>
    <m/>
  </r>
  <r>
    <m/>
    <x v="2"/>
    <d v="2014-06-11T00:00:00"/>
    <s v="Rick Hansen"/>
    <x v="2"/>
    <s v="Western Africa"/>
    <x v="0"/>
    <s v="Phones"/>
    <x v="2"/>
    <x v="2"/>
    <s v="Critical"/>
  </r>
  <r>
    <s v="IN-2014-JM156557-41818"/>
    <x v="3"/>
    <d v="2014-01-07T00:00:00"/>
    <s v="Jim Mitchum"/>
    <x v="0"/>
    <s v="Oceania"/>
    <x v="0"/>
    <s v="Phones"/>
    <x v="3"/>
    <x v="1"/>
    <s v="Critical"/>
  </r>
  <r>
    <m/>
    <x v="4"/>
    <d v="2012-08-11T00:00:00"/>
    <s v="Toby Swindell"/>
    <x v="3"/>
    <s v="Oceania"/>
    <x v="1"/>
    <s v="Copiers"/>
    <x v="4"/>
    <x v="3"/>
    <s v="Critical"/>
  </r>
  <r>
    <s v="IN-2013-MB1808592-41378"/>
    <x v="5"/>
    <m/>
    <s v="Mick Brown"/>
    <x v="3"/>
    <s v="Oceania"/>
    <x v="1"/>
    <s v="Phones"/>
    <x v="5"/>
    <x v="4"/>
    <s v="High"/>
  </r>
  <r>
    <s v="CA-2014-AB10015140-41954"/>
    <x v="6"/>
    <s v="11/13/14 0:00"/>
    <s v="Aaron Bergman"/>
    <x v="4"/>
    <s v="Central US"/>
    <x v="1"/>
    <s v="Chairs"/>
    <x v="6"/>
    <x v="5"/>
    <s v="High"/>
  </r>
  <r>
    <s v="CA-2012-AB10015140-40974"/>
    <x v="7"/>
    <d v="2012-07-03T00:00:00"/>
    <s v="Aaron Bergman"/>
    <x v="4"/>
    <s v="Western US"/>
    <x v="1"/>
    <s v="Tables"/>
    <x v="7"/>
    <x v="6"/>
    <s v="High"/>
  </r>
  <r>
    <s v="CA-2012-AB10015140-40974"/>
    <x v="7"/>
    <d v="2012-07-03T00:00:00"/>
    <s v="Aaron Bergman"/>
    <x v="2"/>
    <s v="Western US"/>
    <x v="2"/>
    <s v="Binders"/>
    <x v="8"/>
    <x v="7"/>
    <s v="High"/>
  </r>
  <r>
    <s v="ID-2013-AJ107801-41383"/>
    <x v="8"/>
    <d v="2013-04-22T00:00:00"/>
    <s v="Anthony Jacobs"/>
    <x v="5"/>
    <s v="Southern Asia"/>
    <x v="1"/>
    <s v="Tables"/>
    <x v="9"/>
    <x v="1"/>
    <s v="High"/>
  </r>
  <r>
    <s v="SA-2012-MM7260110-41269"/>
    <x v="9"/>
    <m/>
    <s v="Magdelene Morse"/>
    <x v="6"/>
    <s v="Western Asia"/>
    <x v="0"/>
    <s v="Supplies"/>
    <x v="10"/>
    <x v="3"/>
    <s v="Critical"/>
  </r>
  <r>
    <s v="MX-2013-VF2171518-41591"/>
    <x v="10"/>
    <s v="11/13/13 0:00"/>
    <s v="Vicky Freymann"/>
    <x v="7"/>
    <s v="South America"/>
    <x v="1"/>
    <s v="Tables"/>
    <x v="11"/>
    <x v="8"/>
    <s v="Critical"/>
  </r>
  <r>
    <s v="IN-2014-PF1912027-41796"/>
    <x v="11"/>
    <d v="2014-08-06T00:00:00"/>
    <s v="Peter Fuller"/>
    <x v="8"/>
    <s v="EASTERN ASIA"/>
    <x v="2"/>
    <s v="Phones"/>
    <x v="12"/>
    <x v="9"/>
    <s v="Critical"/>
  </r>
  <r>
    <s v="ES-2015-BP1118545-42216"/>
    <x v="12"/>
    <d v="2015-03-08T00:00:00"/>
    <s v="Ben Peterman"/>
    <x v="9"/>
    <s v="Western Europe"/>
    <x v="2"/>
    <s v="Chairs"/>
    <x v="13"/>
    <x v="3"/>
    <s v="Critical"/>
  </r>
  <r>
    <s v="CA-2012-AB10015140-40958"/>
    <x v="13"/>
    <s v="2/25/12 0:00"/>
    <s v="Aaron Bergman"/>
    <x v="4"/>
    <s v="Central US"/>
    <x v="2"/>
    <s v="Appliances"/>
    <x v="14"/>
    <x v="5"/>
    <s v="Low"/>
  </r>
  <r>
    <s v="ES-2015-PJ1883564-42255"/>
    <x v="14"/>
    <s v="9/14/15 0:00"/>
    <m/>
    <x v="10"/>
    <s v="Southern Europe"/>
    <x v="2"/>
    <s v="Appliances"/>
    <x v="15"/>
    <x v="10"/>
    <s v="Low"/>
  </r>
  <r>
    <s v="IN-2015-JS156857-42035"/>
    <x v="15"/>
    <d v="2015-01-02T00:00:00"/>
    <s v="Jim Sink"/>
    <x v="0"/>
    <s v="Oceania"/>
    <x v="3"/>
    <s v="Accessories"/>
    <x v="16"/>
    <x v="0"/>
    <s v="Critical"/>
  </r>
  <r>
    <s v="TZ-2015-RH9555129-42343"/>
    <x v="16"/>
    <d v="2015-07-12T00:00:00"/>
    <s v="Ritsa Hightower"/>
    <x v="11"/>
    <s v="Eastern Africa"/>
    <x v="2"/>
    <s v="Appliances"/>
    <x v="17"/>
    <x v="11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320E0-EE91-427A-90AC-60AA12E5B33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1">
    <pivotField showAll="0"/>
    <pivotField showAll="0">
      <items count="18">
        <item x="1"/>
        <item x="15"/>
        <item x="0"/>
        <item x="10"/>
        <item x="9"/>
        <item x="13"/>
        <item x="8"/>
        <item x="3"/>
        <item x="12"/>
        <item x="7"/>
        <item x="4"/>
        <item x="2"/>
        <item x="11"/>
        <item x="6"/>
        <item x="16"/>
        <item x="14"/>
        <item x="5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>
      <items count="19">
        <item x="14"/>
        <item x="7"/>
        <item x="6"/>
        <item x="4"/>
        <item x="13"/>
        <item x="16"/>
        <item x="10"/>
        <item x="2"/>
        <item x="3"/>
        <item x="1"/>
        <item x="17"/>
        <item x="12"/>
        <item x="9"/>
        <item x="0"/>
        <item x="5"/>
        <item x="8"/>
        <item x="11"/>
        <item x="15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8" subtotal="average" baseField="1" baseItem="0"/>
  </dataField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9528B-BBEE-4B30-9071-8A67EC265ACE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1">
    <pivotField showAll="0"/>
    <pivotField showAll="0"/>
    <pivotField showAll="0"/>
    <pivotField showAll="0"/>
    <pivotField axis="axisRow" showAll="0">
      <items count="13">
        <item x="5"/>
        <item x="0"/>
        <item x="7"/>
        <item x="8"/>
        <item x="9"/>
        <item x="1"/>
        <item x="10"/>
        <item x="3"/>
        <item x="6"/>
        <item x="11"/>
        <item x="4"/>
        <item x="2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>
      <items count="19">
        <item x="14"/>
        <item x="7"/>
        <item x="6"/>
        <item x="4"/>
        <item x="13"/>
        <item x="16"/>
        <item x="10"/>
        <item x="2"/>
        <item x="3"/>
        <item x="1"/>
        <item x="17"/>
        <item x="12"/>
        <item x="9"/>
        <item x="0"/>
        <item x="5"/>
        <item x="8"/>
        <item x="11"/>
        <item x="15"/>
        <item t="default"/>
      </items>
    </pivotField>
    <pivotField showAll="0">
      <items count="13">
        <item x="6"/>
        <item x="5"/>
        <item x="7"/>
        <item x="3"/>
        <item x="1"/>
        <item x="11"/>
        <item x="2"/>
        <item x="0"/>
        <item x="9"/>
        <item x="10"/>
        <item x="4"/>
        <item x="8"/>
        <item t="default"/>
      </items>
    </pivotField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ales" fld="8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AFA5-51D2-40F8-9E89-67259F0557E2}">
  <dimension ref="A1:N19"/>
  <sheetViews>
    <sheetView tabSelected="1" zoomScale="66" zoomScaleNormal="66" workbookViewId="0">
      <selection activeCell="O15" sqref="O15"/>
    </sheetView>
  </sheetViews>
  <sheetFormatPr defaultRowHeight="14.4" x14ac:dyDescent="0.3"/>
  <cols>
    <col min="1" max="1" width="21.6640625" customWidth="1"/>
    <col min="2" max="2" width="22.77734375" customWidth="1"/>
    <col min="3" max="3" width="22.21875" customWidth="1"/>
    <col min="4" max="4" width="16.21875" customWidth="1"/>
    <col min="5" max="5" width="12.77734375" customWidth="1"/>
    <col min="6" max="6" width="11.21875" customWidth="1"/>
    <col min="7" max="7" width="13.44140625" customWidth="1"/>
    <col min="8" max="8" width="16" customWidth="1"/>
    <col min="9" max="9" width="13.109375" customWidth="1"/>
    <col min="10" max="10" width="12.77734375" customWidth="1"/>
    <col min="11" max="11" width="14.44140625" customWidth="1"/>
  </cols>
  <sheetData>
    <row r="1" spans="1:14" ht="31.8" customHeight="1" x14ac:dyDescent="0.3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</row>
    <row r="2" spans="1:14" ht="28.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0</v>
      </c>
      <c r="I2" s="3">
        <v>5175.1710000000003</v>
      </c>
      <c r="J2" s="3">
        <v>9</v>
      </c>
      <c r="K2" s="3" t="s">
        <v>8</v>
      </c>
    </row>
    <row r="3" spans="1:14" ht="28.8" x14ac:dyDescent="0.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99</v>
      </c>
      <c r="G3" s="3" t="s">
        <v>7</v>
      </c>
      <c r="H3" s="3" t="s">
        <v>14</v>
      </c>
      <c r="I3" s="3">
        <v>2892.51</v>
      </c>
      <c r="J3" s="3">
        <v>5</v>
      </c>
      <c r="K3" s="3" t="s">
        <v>99</v>
      </c>
      <c r="N3" s="9" t="s">
        <v>101</v>
      </c>
    </row>
    <row r="4" spans="1:14" ht="28.8" x14ac:dyDescent="0.3">
      <c r="A4" s="3" t="s">
        <v>99</v>
      </c>
      <c r="B4" s="4">
        <v>41770</v>
      </c>
      <c r="C4" s="4">
        <v>41801</v>
      </c>
      <c r="D4" s="1" t="s">
        <v>15</v>
      </c>
      <c r="E4" s="3" t="s">
        <v>99</v>
      </c>
      <c r="F4" s="3" t="s">
        <v>16</v>
      </c>
      <c r="G4" s="3" t="s">
        <v>7</v>
      </c>
      <c r="H4" s="3" t="s">
        <v>17</v>
      </c>
      <c r="I4" s="3">
        <v>2832.96</v>
      </c>
      <c r="J4" s="3">
        <v>8</v>
      </c>
      <c r="K4" s="3" t="s">
        <v>18</v>
      </c>
      <c r="N4" s="10" t="s">
        <v>102</v>
      </c>
    </row>
    <row r="5" spans="1:14" ht="37.799999999999997" customHeight="1" x14ac:dyDescent="0.3">
      <c r="A5" s="3" t="s">
        <v>19</v>
      </c>
      <c r="B5" s="3" t="s">
        <v>20</v>
      </c>
      <c r="C5" s="4">
        <v>41646</v>
      </c>
      <c r="D5" s="3" t="s">
        <v>21</v>
      </c>
      <c r="E5" s="3" t="s">
        <v>5</v>
      </c>
      <c r="F5" s="3" t="s">
        <v>6</v>
      </c>
      <c r="G5" s="3" t="s">
        <v>7</v>
      </c>
      <c r="H5" s="3" t="s">
        <v>17</v>
      </c>
      <c r="I5" s="3">
        <v>2862.6750000000002</v>
      </c>
      <c r="J5" s="3">
        <v>5</v>
      </c>
      <c r="K5" s="3" t="s">
        <v>18</v>
      </c>
    </row>
    <row r="6" spans="1:14" ht="25.8" customHeight="1" x14ac:dyDescent="0.3">
      <c r="A6" s="3" t="s">
        <v>99</v>
      </c>
      <c r="B6" s="4">
        <v>41071</v>
      </c>
      <c r="C6" s="4">
        <v>41132</v>
      </c>
      <c r="D6" s="3" t="s">
        <v>22</v>
      </c>
      <c r="E6" s="3" t="s">
        <v>23</v>
      </c>
      <c r="F6" s="3" t="s">
        <v>6</v>
      </c>
      <c r="G6" s="3" t="s">
        <v>24</v>
      </c>
      <c r="H6" s="3" t="s">
        <v>25</v>
      </c>
      <c r="I6" s="3">
        <v>1822.08</v>
      </c>
      <c r="J6" s="3">
        <v>4</v>
      </c>
      <c r="K6" s="3" t="s">
        <v>18</v>
      </c>
      <c r="N6" s="11" t="s">
        <v>103</v>
      </c>
    </row>
    <row r="7" spans="1:14" ht="27" customHeight="1" x14ac:dyDescent="0.3">
      <c r="A7" s="1" t="s">
        <v>26</v>
      </c>
      <c r="B7" s="3" t="s">
        <v>99</v>
      </c>
      <c r="C7" s="3" t="s">
        <v>99</v>
      </c>
      <c r="D7" s="3" t="s">
        <v>27</v>
      </c>
      <c r="E7" s="3" t="s">
        <v>23</v>
      </c>
      <c r="F7" s="3" t="s">
        <v>6</v>
      </c>
      <c r="G7" s="3" t="s">
        <v>24</v>
      </c>
      <c r="H7" s="3" t="s">
        <v>17</v>
      </c>
      <c r="I7" s="3">
        <v>5244.84</v>
      </c>
      <c r="J7" s="3">
        <v>6</v>
      </c>
      <c r="K7" s="3" t="s">
        <v>28</v>
      </c>
      <c r="N7" s="12" t="s">
        <v>104</v>
      </c>
    </row>
    <row r="8" spans="1:14" ht="28.8" x14ac:dyDescent="0.3">
      <c r="A8" s="3" t="s">
        <v>29</v>
      </c>
      <c r="B8" s="4">
        <v>41954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24</v>
      </c>
      <c r="H8" s="3" t="s">
        <v>14</v>
      </c>
      <c r="I8" s="3">
        <v>341.96</v>
      </c>
      <c r="J8" s="3">
        <v>2</v>
      </c>
      <c r="K8" s="3" t="s">
        <v>28</v>
      </c>
    </row>
    <row r="9" spans="1:14" ht="28.8" x14ac:dyDescent="0.3">
      <c r="A9" s="3" t="s">
        <v>34</v>
      </c>
      <c r="B9" s="4">
        <v>41063</v>
      </c>
      <c r="C9" s="4">
        <v>41093</v>
      </c>
      <c r="D9" s="3" t="s">
        <v>31</v>
      </c>
      <c r="E9" s="3" t="s">
        <v>32</v>
      </c>
      <c r="F9" s="3" t="s">
        <v>35</v>
      </c>
      <c r="G9" s="3" t="s">
        <v>24</v>
      </c>
      <c r="H9" s="3" t="s">
        <v>36</v>
      </c>
      <c r="I9" s="3">
        <v>48.712000000000003</v>
      </c>
      <c r="J9" s="3">
        <v>1</v>
      </c>
      <c r="K9" s="3" t="s">
        <v>28</v>
      </c>
    </row>
    <row r="10" spans="1:14" ht="28.8" x14ac:dyDescent="0.3">
      <c r="A10" s="3" t="s">
        <v>34</v>
      </c>
      <c r="B10" s="4">
        <v>41063</v>
      </c>
      <c r="C10" s="4">
        <v>41093</v>
      </c>
      <c r="D10" s="1" t="s">
        <v>31</v>
      </c>
      <c r="E10" s="3" t="s">
        <v>99</v>
      </c>
      <c r="F10" s="3" t="s">
        <v>35</v>
      </c>
      <c r="G10" s="3" t="s">
        <v>37</v>
      </c>
      <c r="H10" s="3" t="s">
        <v>38</v>
      </c>
      <c r="I10" s="3" t="s">
        <v>39</v>
      </c>
      <c r="J10" s="3">
        <v>3</v>
      </c>
      <c r="K10" s="3" t="s">
        <v>28</v>
      </c>
    </row>
    <row r="11" spans="1:14" ht="28.8" x14ac:dyDescent="0.3">
      <c r="A11" s="3" t="s">
        <v>40</v>
      </c>
      <c r="B11" s="3" t="s">
        <v>41</v>
      </c>
      <c r="C11" s="5">
        <v>41386</v>
      </c>
      <c r="D11" s="3" t="s">
        <v>42</v>
      </c>
      <c r="E11" s="3" t="s">
        <v>43</v>
      </c>
      <c r="F11" s="3" t="s">
        <v>44</v>
      </c>
      <c r="G11" s="3" t="s">
        <v>24</v>
      </c>
      <c r="H11" s="3" t="s">
        <v>36</v>
      </c>
      <c r="I11" s="3">
        <v>4626.1499999999996</v>
      </c>
      <c r="J11" s="3">
        <v>5</v>
      </c>
      <c r="K11" s="3" t="s">
        <v>28</v>
      </c>
    </row>
    <row r="12" spans="1:14" ht="28.8" x14ac:dyDescent="0.3">
      <c r="A12" s="3" t="s">
        <v>45</v>
      </c>
      <c r="B12" s="3" t="s">
        <v>46</v>
      </c>
      <c r="C12" s="3" t="s">
        <v>99</v>
      </c>
      <c r="D12" s="3" t="s">
        <v>47</v>
      </c>
      <c r="E12" s="3" t="s">
        <v>48</v>
      </c>
      <c r="F12" s="3" t="s">
        <v>49</v>
      </c>
      <c r="G12" s="3" t="s">
        <v>7</v>
      </c>
      <c r="H12" s="3" t="s">
        <v>50</v>
      </c>
      <c r="I12" s="3">
        <v>2616.96</v>
      </c>
      <c r="J12" s="3">
        <v>4</v>
      </c>
      <c r="K12" s="3" t="s">
        <v>18</v>
      </c>
    </row>
    <row r="13" spans="1:14" ht="28.8" x14ac:dyDescent="0.3">
      <c r="A13" s="3" t="s">
        <v>51</v>
      </c>
      <c r="B13" s="3" t="s">
        <v>52</v>
      </c>
      <c r="C13" s="3" t="s">
        <v>52</v>
      </c>
      <c r="D13" s="3" t="s">
        <v>53</v>
      </c>
      <c r="E13" s="3" t="s">
        <v>54</v>
      </c>
      <c r="F13" s="3" t="s">
        <v>55</v>
      </c>
      <c r="G13" s="3" t="s">
        <v>24</v>
      </c>
      <c r="H13" s="3" t="s">
        <v>36</v>
      </c>
      <c r="I13" s="3" t="s">
        <v>56</v>
      </c>
      <c r="J13" s="3" t="s">
        <v>57</v>
      </c>
      <c r="K13" s="3" t="s">
        <v>18</v>
      </c>
    </row>
    <row r="14" spans="1:14" ht="28.8" x14ac:dyDescent="0.3">
      <c r="A14" s="3" t="s">
        <v>58</v>
      </c>
      <c r="B14" s="4">
        <v>41796</v>
      </c>
      <c r="C14" s="4">
        <v>41857</v>
      </c>
      <c r="D14" s="3" t="s">
        <v>59</v>
      </c>
      <c r="E14" s="3" t="s">
        <v>60</v>
      </c>
      <c r="F14" s="3" t="s">
        <v>61</v>
      </c>
      <c r="G14" s="3" t="s">
        <v>37</v>
      </c>
      <c r="H14" s="3" t="s">
        <v>17</v>
      </c>
      <c r="I14" s="3">
        <v>3701.52</v>
      </c>
      <c r="J14" s="3">
        <v>12</v>
      </c>
      <c r="K14" s="3" t="s">
        <v>18</v>
      </c>
    </row>
    <row r="15" spans="1:14" ht="28.8" x14ac:dyDescent="0.3">
      <c r="A15" s="3" t="s">
        <v>62</v>
      </c>
      <c r="B15" s="3" t="s">
        <v>63</v>
      </c>
      <c r="C15" s="4">
        <v>42071</v>
      </c>
      <c r="D15" s="3" t="s">
        <v>64</v>
      </c>
      <c r="E15" s="3" t="s">
        <v>65</v>
      </c>
      <c r="F15" s="3" t="s">
        <v>66</v>
      </c>
      <c r="G15" s="3" t="s">
        <v>37</v>
      </c>
      <c r="H15" s="3" t="s">
        <v>14</v>
      </c>
      <c r="I15" s="3">
        <v>1869.588</v>
      </c>
      <c r="J15" s="3">
        <v>4</v>
      </c>
      <c r="K15" s="3" t="s">
        <v>18</v>
      </c>
    </row>
    <row r="16" spans="1:14" ht="28.8" x14ac:dyDescent="0.3">
      <c r="A16" s="3" t="s">
        <v>67</v>
      </c>
      <c r="B16" s="3" t="s">
        <v>68</v>
      </c>
      <c r="C16" s="3" t="s">
        <v>69</v>
      </c>
      <c r="D16" s="3" t="s">
        <v>31</v>
      </c>
      <c r="E16" s="3" t="s">
        <v>32</v>
      </c>
      <c r="F16" s="3" t="s">
        <v>33</v>
      </c>
      <c r="G16" s="3" t="s">
        <v>37</v>
      </c>
      <c r="H16" s="3" t="s">
        <v>70</v>
      </c>
      <c r="I16" s="3">
        <v>12.624000000000001</v>
      </c>
      <c r="J16" s="3">
        <v>2</v>
      </c>
      <c r="K16" s="3" t="s">
        <v>71</v>
      </c>
    </row>
    <row r="17" spans="1:11" ht="28.8" x14ac:dyDescent="0.3">
      <c r="A17" s="3" t="s">
        <v>72</v>
      </c>
      <c r="B17" s="4">
        <v>42225</v>
      </c>
      <c r="C17" s="3" t="s">
        <v>73</v>
      </c>
      <c r="D17" s="3" t="s">
        <v>99</v>
      </c>
      <c r="E17" s="3" t="s">
        <v>74</v>
      </c>
      <c r="F17" s="3" t="s">
        <v>75</v>
      </c>
      <c r="G17" s="3" t="s">
        <v>37</v>
      </c>
      <c r="H17" s="3" t="s">
        <v>70</v>
      </c>
      <c r="I17" s="3" t="s">
        <v>76</v>
      </c>
      <c r="J17" s="3">
        <v>14</v>
      </c>
      <c r="K17" s="3" t="s">
        <v>71</v>
      </c>
    </row>
    <row r="18" spans="1:11" ht="28.8" x14ac:dyDescent="0.3">
      <c r="A18" s="3" t="s">
        <v>77</v>
      </c>
      <c r="B18" s="3" t="s">
        <v>78</v>
      </c>
      <c r="C18" s="4">
        <v>42006</v>
      </c>
      <c r="D18" s="3" t="s">
        <v>79</v>
      </c>
      <c r="E18" s="3" t="s">
        <v>5</v>
      </c>
      <c r="F18" s="3" t="s">
        <v>6</v>
      </c>
      <c r="G18" s="3" t="s">
        <v>99</v>
      </c>
      <c r="H18" s="3" t="s">
        <v>0</v>
      </c>
      <c r="I18" s="3">
        <v>2565.5940000000001</v>
      </c>
      <c r="J18" s="3">
        <v>9</v>
      </c>
      <c r="K18" s="3" t="s">
        <v>18</v>
      </c>
    </row>
    <row r="19" spans="1:11" ht="28.8" x14ac:dyDescent="0.3">
      <c r="A19" s="3" t="s">
        <v>80</v>
      </c>
      <c r="B19" s="4">
        <v>42136</v>
      </c>
      <c r="C19" s="4">
        <v>42197</v>
      </c>
      <c r="D19" s="3" t="s">
        <v>81</v>
      </c>
      <c r="E19" s="3" t="s">
        <v>82</v>
      </c>
      <c r="F19" s="3" t="s">
        <v>83</v>
      </c>
      <c r="G19" s="3" t="s">
        <v>37</v>
      </c>
      <c r="H19" s="3" t="s">
        <v>70</v>
      </c>
      <c r="I19" s="3">
        <v>3409.74</v>
      </c>
      <c r="J19" s="3">
        <v>6</v>
      </c>
      <c r="K19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E066-29FD-4EDB-B7E9-2DEF8D414085}">
  <dimension ref="A3:B8"/>
  <sheetViews>
    <sheetView workbookViewId="0">
      <selection activeCell="A18" sqref="A18"/>
    </sheetView>
  </sheetViews>
  <sheetFormatPr defaultRowHeight="14.4" x14ac:dyDescent="0.3"/>
  <cols>
    <col min="1" max="1" width="13.109375" bestFit="1" customWidth="1"/>
    <col min="2" max="2" width="14.44140625" bestFit="1" customWidth="1"/>
  </cols>
  <sheetData>
    <row r="3" spans="1:2" x14ac:dyDescent="0.3">
      <c r="A3" s="6" t="s">
        <v>95</v>
      </c>
      <c r="B3" t="s">
        <v>98</v>
      </c>
    </row>
    <row r="4" spans="1:2" x14ac:dyDescent="0.3">
      <c r="A4" s="7" t="s">
        <v>24</v>
      </c>
      <c r="B4" s="8">
        <v>2416.7483999999999</v>
      </c>
    </row>
    <row r="5" spans="1:2" x14ac:dyDescent="0.3">
      <c r="A5" s="7" t="s">
        <v>37</v>
      </c>
      <c r="B5" s="8">
        <v>2248.3679999999999</v>
      </c>
    </row>
    <row r="6" spans="1:2" x14ac:dyDescent="0.3">
      <c r="A6" s="7" t="s">
        <v>7</v>
      </c>
      <c r="B6" s="8">
        <v>3276.0551999999998</v>
      </c>
    </row>
    <row r="7" spans="1:2" x14ac:dyDescent="0.3">
      <c r="A7" s="7" t="s">
        <v>96</v>
      </c>
      <c r="B7" s="8">
        <v>2565.5940000000001</v>
      </c>
    </row>
    <row r="8" spans="1:2" x14ac:dyDescent="0.3">
      <c r="A8" s="7" t="s">
        <v>97</v>
      </c>
      <c r="B8" s="8">
        <v>2668.2056000000002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0A59-EB9D-4598-A233-BEFDA27E27D9}">
  <dimension ref="A3:B16"/>
  <sheetViews>
    <sheetView workbookViewId="0">
      <selection activeCell="P11" sqref="P11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3" spans="1:2" x14ac:dyDescent="0.3">
      <c r="A3" s="6" t="s">
        <v>95</v>
      </c>
      <c r="B3" t="s">
        <v>100</v>
      </c>
    </row>
    <row r="4" spans="1:2" x14ac:dyDescent="0.3">
      <c r="A4" s="7" t="s">
        <v>43</v>
      </c>
      <c r="B4" s="8">
        <v>1</v>
      </c>
    </row>
    <row r="5" spans="1:2" x14ac:dyDescent="0.3">
      <c r="A5" s="7" t="s">
        <v>5</v>
      </c>
      <c r="B5" s="8">
        <v>3</v>
      </c>
    </row>
    <row r="6" spans="1:2" x14ac:dyDescent="0.3">
      <c r="A6" s="7" t="s">
        <v>54</v>
      </c>
      <c r="B6" s="8">
        <v>1</v>
      </c>
    </row>
    <row r="7" spans="1:2" x14ac:dyDescent="0.3">
      <c r="A7" s="7" t="s">
        <v>60</v>
      </c>
      <c r="B7" s="8">
        <v>1</v>
      </c>
    </row>
    <row r="8" spans="1:2" x14ac:dyDescent="0.3">
      <c r="A8" s="7" t="s">
        <v>65</v>
      </c>
      <c r="B8" s="8">
        <v>1</v>
      </c>
    </row>
    <row r="9" spans="1:2" x14ac:dyDescent="0.3">
      <c r="A9" s="7" t="s">
        <v>13</v>
      </c>
      <c r="B9" s="8">
        <v>1</v>
      </c>
    </row>
    <row r="10" spans="1:2" x14ac:dyDescent="0.3">
      <c r="A10" s="7" t="s">
        <v>74</v>
      </c>
      <c r="B10" s="8">
        <v>1</v>
      </c>
    </row>
    <row r="11" spans="1:2" x14ac:dyDescent="0.3">
      <c r="A11" s="7" t="s">
        <v>23</v>
      </c>
      <c r="B11" s="8">
        <v>2</v>
      </c>
    </row>
    <row r="12" spans="1:2" x14ac:dyDescent="0.3">
      <c r="A12" s="7" t="s">
        <v>48</v>
      </c>
      <c r="B12" s="8">
        <v>1</v>
      </c>
    </row>
    <row r="13" spans="1:2" x14ac:dyDescent="0.3">
      <c r="A13" s="7" t="s">
        <v>82</v>
      </c>
      <c r="B13" s="8">
        <v>1</v>
      </c>
    </row>
    <row r="14" spans="1:2" x14ac:dyDescent="0.3">
      <c r="A14" s="7" t="s">
        <v>32</v>
      </c>
      <c r="B14" s="8">
        <v>3</v>
      </c>
    </row>
    <row r="15" spans="1:2" x14ac:dyDescent="0.3">
      <c r="A15" s="7" t="s">
        <v>96</v>
      </c>
      <c r="B15" s="8">
        <v>2</v>
      </c>
    </row>
    <row r="16" spans="1:2" x14ac:dyDescent="0.3">
      <c r="A16" s="7" t="s">
        <v>97</v>
      </c>
      <c r="B16" s="8">
        <v>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2025-11-01T20:27:50Z</dcterms:created>
  <dcterms:modified xsi:type="dcterms:W3CDTF">2025-11-14T13:09:38Z</dcterms:modified>
</cp:coreProperties>
</file>