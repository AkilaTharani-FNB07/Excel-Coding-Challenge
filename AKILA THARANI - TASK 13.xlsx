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d8a224562755fe/Documents/AKILA THARANI MS Excel 21 Day Tasks/"/>
    </mc:Choice>
  </mc:AlternateContent>
  <xr:revisionPtr revIDLastSave="162" documentId="8_{E50D306A-E7A9-4690-B8CC-DD6F77126771}" xr6:coauthVersionLast="47" xr6:coauthVersionMax="47" xr10:uidLastSave="{F44B190F-0442-43AE-832F-B8514A023777}"/>
  <bookViews>
    <workbookView xWindow="-108" yWindow="-108" windowWidth="23256" windowHeight="12456" xr2:uid="{A31C0E65-D293-49CB-BCFB-F7A2B6190BB4}"/>
  </bookViews>
  <sheets>
    <sheet name="AKILA THARANI - DAY 13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" i="3"/>
  <c r="G4" i="1"/>
  <c r="G5" i="1"/>
  <c r="G6" i="1"/>
  <c r="G7" i="1"/>
  <c r="G8" i="1"/>
  <c r="G9" i="1"/>
  <c r="G10" i="1"/>
  <c r="G11" i="1"/>
  <c r="G3" i="1"/>
  <c r="F4" i="1"/>
  <c r="F5" i="1"/>
  <c r="F6" i="1"/>
  <c r="F7" i="1"/>
  <c r="F8" i="1"/>
  <c r="F9" i="1"/>
  <c r="F10" i="1"/>
  <c r="F11" i="1"/>
  <c r="F3" i="1"/>
</calcChain>
</file>

<file path=xl/sharedStrings.xml><?xml version="1.0" encoding="utf-8"?>
<sst xmlns="http://schemas.openxmlformats.org/spreadsheetml/2006/main" count="126" uniqueCount="60">
  <si>
    <t>Day 13 – Lookup &amp; Reference Functions (Part 1)</t>
  </si>
  <si>
    <t>Use: VLOOKUP()</t>
  </si>
  <si>
    <r>
      <t>Task:</t>
    </r>
    <r>
      <rPr>
        <sz val="13.95"/>
        <color rgb="FF000000"/>
        <rFont val="Arial"/>
        <family val="2"/>
      </rPr>
      <t xml:space="preserve"> Duplicate the dataset using Vlookup function.</t>
    </r>
  </si>
  <si>
    <t>Name</t>
  </si>
  <si>
    <t>Last Name</t>
  </si>
  <si>
    <t>Dept</t>
  </si>
  <si>
    <t>Ravi</t>
  </si>
  <si>
    <t>Kumar</t>
  </si>
  <si>
    <t>Arts</t>
  </si>
  <si>
    <t>Mohan</t>
  </si>
  <si>
    <t>Raj</t>
  </si>
  <si>
    <t>arts</t>
  </si>
  <si>
    <t>deepthiKha</t>
  </si>
  <si>
    <t>Rani</t>
  </si>
  <si>
    <t>Manohar</t>
  </si>
  <si>
    <t>Babu</t>
  </si>
  <si>
    <t>Commerce</t>
  </si>
  <si>
    <t>Priyanka</t>
  </si>
  <si>
    <t>Devi</t>
  </si>
  <si>
    <t>Science</t>
  </si>
  <si>
    <t>Vinoth</t>
  </si>
  <si>
    <t>Muthu</t>
  </si>
  <si>
    <t>Shanthi</t>
  </si>
  <si>
    <t>Lakshmi</t>
  </si>
  <si>
    <t>manimegalai</t>
  </si>
  <si>
    <t>Selvi</t>
  </si>
  <si>
    <t>Karthi</t>
  </si>
  <si>
    <t>Velu</t>
  </si>
  <si>
    <t>Mari</t>
  </si>
  <si>
    <t>Gopi</t>
  </si>
  <si>
    <t>Mahesh</t>
  </si>
  <si>
    <t>Sekar</t>
  </si>
  <si>
    <t>sangeetha</t>
  </si>
  <si>
    <t>Raji</t>
  </si>
  <si>
    <t>Raghul</t>
  </si>
  <si>
    <t>Arul</t>
  </si>
  <si>
    <t>Jothi</t>
  </si>
  <si>
    <t>Radha</t>
  </si>
  <si>
    <t>Anisha</t>
  </si>
  <si>
    <t>Meena</t>
  </si>
  <si>
    <t>Venkat</t>
  </si>
  <si>
    <t>Hari</t>
  </si>
  <si>
    <t>Chandru</t>
  </si>
  <si>
    <t>Raja</t>
  </si>
  <si>
    <t>Dinesh</t>
  </si>
  <si>
    <t>Poorvika</t>
  </si>
  <si>
    <t>Vimal</t>
  </si>
  <si>
    <t>Arasu</t>
  </si>
  <si>
    <t>Parthiban</t>
  </si>
  <si>
    <t>Bala</t>
  </si>
  <si>
    <t>Santhosh</t>
  </si>
  <si>
    <t>Gokul</t>
  </si>
  <si>
    <t>Keerthika</t>
  </si>
  <si>
    <t>divya</t>
  </si>
  <si>
    <t>Reeta</t>
  </si>
  <si>
    <t>Yamuna</t>
  </si>
  <si>
    <t>Lalitha</t>
  </si>
  <si>
    <t>Nila</t>
  </si>
  <si>
    <t xml:space="preserve">Last Name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</si>
  <si>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Above table is duplicated using VLOOKUP Function with random name from given dataset , VLOOKUP Reference used in Sheet 2  with same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</si>
</sst>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3.95"/>
      <color rgb="FF0B5394"/>
      <name val="Arial"/>
      <family val="2"/>
    </font>
    <font>
      <sz val="13.95"/>
      <color rgb="FF000000"/>
      <name val="Arial"/>
      <family val="2"/>
    </font>
    <font>
      <b/>
      <sz val="13.95"/>
      <color rgb="FF000000"/>
      <name val="Arial"/>
      <family val="2"/>
    </font>
    <font>
      <b/>
      <sz val="11"/>
      <color theme="0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07E3C4-C099-41EC-A761-2F494B734D91}" name="Table2" displayName="Table2" ref="A2:C28" totalsRowShown="0" headerRowDxfId="0" headerRowBorderDxfId="5" tableBorderDxfId="6" totalsRowBorderDxfId="4">
  <autoFilter ref="A2:C28" xr:uid="{F207E3C4-C099-41EC-A761-2F494B734D91}"/>
  <tableColumns count="3">
    <tableColumn id="1" xr3:uid="{0C818380-C79C-4A2D-9876-CB6FD6E402B4}" name="Name" dataDxfId="3"/>
    <tableColumn id="2" xr3:uid="{17033C9A-C00B-4E93-9DBF-B6DBFAD7C146}" name="Last Name" dataDxfId="2"/>
    <tableColumn id="3" xr3:uid="{4BADF9B4-8BB9-4F4A-9AED-A035549EE917}" name="Dept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41A567-145E-4B05-9924-83970FA0F6DD}" name="Table1" displayName="Table1" ref="A1:C27" totalsRowShown="0" headerRowDxfId="13" headerRowBorderDxfId="12" tableBorderDxfId="11" totalsRowBorderDxfId="10">
  <autoFilter ref="A1:C27" xr:uid="{2841A567-145E-4B05-9924-83970FA0F6DD}"/>
  <tableColumns count="3">
    <tableColumn id="1" xr3:uid="{5AF95080-67B0-4D94-BC2E-1A52EB781886}" name="Name" dataDxfId="9"/>
    <tableColumn id="2" xr3:uid="{28F166CA-55C0-465C-9107-9C7447987F42}" name="Last Name" dataDxfId="8">
      <calculatedColumnFormula>VLOOKUP($A2,'AKILA THARANI - DAY 13'!$A$3:$C$28,2,0)</calculatedColumnFormula>
    </tableColumn>
    <tableColumn id="3" xr3:uid="{749CD62B-D24D-4F60-B8F5-AF6281B86D14}" name="Dept" dataDxfId="7">
      <calculatedColumnFormula>VLOOKUP($A2,'AKILA THARANI - DAY 13'!$A$3:$C$28,3,0)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8180-4BF3-404B-8081-FAEF2F229070}">
  <dimension ref="A2:J47"/>
  <sheetViews>
    <sheetView tabSelected="1" zoomScale="85" zoomScaleNormal="85" workbookViewId="0">
      <selection activeCell="E25" sqref="E25"/>
    </sheetView>
  </sheetViews>
  <sheetFormatPr defaultRowHeight="14.4" x14ac:dyDescent="0.3"/>
  <cols>
    <col min="1" max="1" width="16.77734375" customWidth="1"/>
    <col min="2" max="2" width="15.109375" customWidth="1"/>
    <col min="3" max="3" width="15.44140625" customWidth="1"/>
    <col min="5" max="5" width="20.5546875" customWidth="1"/>
    <col min="6" max="7" width="19.88671875" customWidth="1"/>
  </cols>
  <sheetData>
    <row r="2" spans="1:10" ht="18.600000000000001" customHeight="1" x14ac:dyDescent="0.3">
      <c r="A2" s="20" t="s">
        <v>3</v>
      </c>
      <c r="B2" s="21" t="s">
        <v>4</v>
      </c>
      <c r="C2" s="22" t="s">
        <v>5</v>
      </c>
      <c r="E2" s="8" t="s">
        <v>3</v>
      </c>
      <c r="F2" s="8" t="s">
        <v>58</v>
      </c>
      <c r="G2" s="8" t="s">
        <v>5</v>
      </c>
    </row>
    <row r="3" spans="1:10" x14ac:dyDescent="0.3">
      <c r="A3" s="11" t="s">
        <v>6</v>
      </c>
      <c r="B3" s="4" t="s">
        <v>7</v>
      </c>
      <c r="C3" s="12" t="s">
        <v>8</v>
      </c>
      <c r="E3" s="6" t="s">
        <v>54</v>
      </c>
      <c r="F3" s="6" t="str">
        <f>VLOOKUP(E3, $A$3:$C$28, 2, 0)</f>
        <v>Yamuna</v>
      </c>
      <c r="G3" s="7" t="str">
        <f>VLOOKUP(E3, $A$3:$C$28, 3, 0)</f>
        <v>Arts</v>
      </c>
    </row>
    <row r="4" spans="1:10" x14ac:dyDescent="0.3">
      <c r="A4" s="11" t="s">
        <v>9</v>
      </c>
      <c r="B4" s="4" t="s">
        <v>10</v>
      </c>
      <c r="C4" s="12" t="s">
        <v>11</v>
      </c>
      <c r="E4" s="6" t="s">
        <v>46</v>
      </c>
      <c r="F4" s="6" t="str">
        <f t="shared" ref="F4:F11" si="0">VLOOKUP(E4, $A$3:$C$28, 2, 0)</f>
        <v>Arasu</v>
      </c>
      <c r="G4" s="7" t="str">
        <f t="shared" ref="G4:G11" si="1">VLOOKUP(E4, $A$3:$C$28, 3, 0)</f>
        <v>Commerce</v>
      </c>
    </row>
    <row r="5" spans="1:10" x14ac:dyDescent="0.3">
      <c r="A5" s="11" t="s">
        <v>12</v>
      </c>
      <c r="B5" s="4" t="s">
        <v>13</v>
      </c>
      <c r="C5" s="12" t="s">
        <v>8</v>
      </c>
      <c r="E5" s="6" t="s">
        <v>45</v>
      </c>
      <c r="F5" s="6" t="str">
        <f t="shared" si="0"/>
        <v>Devi</v>
      </c>
      <c r="G5" s="7" t="str">
        <f t="shared" si="1"/>
        <v>Science</v>
      </c>
    </row>
    <row r="6" spans="1:10" x14ac:dyDescent="0.3">
      <c r="A6" s="11" t="s">
        <v>14</v>
      </c>
      <c r="B6" s="4" t="s">
        <v>15</v>
      </c>
      <c r="C6" s="12" t="s">
        <v>16</v>
      </c>
      <c r="E6" s="6" t="s">
        <v>36</v>
      </c>
      <c r="F6" s="6" t="str">
        <f t="shared" si="0"/>
        <v>Radha</v>
      </c>
      <c r="G6" s="7" t="str">
        <f t="shared" si="1"/>
        <v>Commerce</v>
      </c>
    </row>
    <row r="7" spans="1:10" x14ac:dyDescent="0.3">
      <c r="A7" s="11" t="s">
        <v>17</v>
      </c>
      <c r="B7" s="4" t="s">
        <v>18</v>
      </c>
      <c r="C7" s="12" t="s">
        <v>19</v>
      </c>
      <c r="E7" s="6" t="s">
        <v>20</v>
      </c>
      <c r="F7" s="6" t="str">
        <f t="shared" si="0"/>
        <v>Muthu</v>
      </c>
      <c r="G7" s="7" t="str">
        <f t="shared" si="1"/>
        <v>Commerce</v>
      </c>
    </row>
    <row r="8" spans="1:10" x14ac:dyDescent="0.3">
      <c r="A8" s="11" t="s">
        <v>20</v>
      </c>
      <c r="B8" s="4" t="s">
        <v>21</v>
      </c>
      <c r="C8" s="12" t="s">
        <v>16</v>
      </c>
      <c r="E8" s="6" t="s">
        <v>34</v>
      </c>
      <c r="F8" s="6" t="str">
        <f t="shared" si="0"/>
        <v>Arul</v>
      </c>
      <c r="G8" s="7" t="str">
        <f t="shared" si="1"/>
        <v>Arts</v>
      </c>
    </row>
    <row r="9" spans="1:10" x14ac:dyDescent="0.3">
      <c r="A9" s="11" t="s">
        <v>22</v>
      </c>
      <c r="B9" s="4" t="s">
        <v>23</v>
      </c>
      <c r="C9" s="12" t="s">
        <v>8</v>
      </c>
      <c r="E9" s="6" t="s">
        <v>42</v>
      </c>
      <c r="F9" s="6" t="str">
        <f t="shared" si="0"/>
        <v>Raja</v>
      </c>
      <c r="G9" s="7" t="str">
        <f t="shared" si="1"/>
        <v>Science</v>
      </c>
    </row>
    <row r="10" spans="1:10" x14ac:dyDescent="0.3">
      <c r="A10" s="11" t="s">
        <v>24</v>
      </c>
      <c r="B10" s="4" t="s">
        <v>25</v>
      </c>
      <c r="C10" s="12" t="s">
        <v>16</v>
      </c>
      <c r="E10" s="9" t="s">
        <v>48</v>
      </c>
      <c r="F10" s="9" t="str">
        <f t="shared" si="0"/>
        <v>Bala</v>
      </c>
      <c r="G10" s="10" t="str">
        <f t="shared" si="1"/>
        <v>Science</v>
      </c>
    </row>
    <row r="11" spans="1:10" ht="17.399999999999999" x14ac:dyDescent="0.3">
      <c r="A11" s="11" t="s">
        <v>26</v>
      </c>
      <c r="B11" s="4" t="s">
        <v>27</v>
      </c>
      <c r="C11" s="12" t="s">
        <v>16</v>
      </c>
      <c r="E11" s="6" t="s">
        <v>50</v>
      </c>
      <c r="F11" s="6" t="str">
        <f t="shared" si="0"/>
        <v>Gokul</v>
      </c>
      <c r="G11" s="7" t="str">
        <f t="shared" si="1"/>
        <v>Arts</v>
      </c>
      <c r="J11" s="1" t="s">
        <v>0</v>
      </c>
    </row>
    <row r="12" spans="1:10" x14ac:dyDescent="0.3">
      <c r="A12" s="11" t="s">
        <v>28</v>
      </c>
      <c r="B12" s="4" t="s">
        <v>29</v>
      </c>
      <c r="C12" s="12" t="s">
        <v>19</v>
      </c>
    </row>
    <row r="13" spans="1:10" ht="17.399999999999999" x14ac:dyDescent="0.3">
      <c r="A13" s="11" t="s">
        <v>30</v>
      </c>
      <c r="B13" s="4" t="s">
        <v>31</v>
      </c>
      <c r="C13" s="12" t="s">
        <v>11</v>
      </c>
      <c r="I13" s="2" t="s">
        <v>1</v>
      </c>
    </row>
    <row r="14" spans="1:10" ht="17.399999999999999" x14ac:dyDescent="0.3">
      <c r="A14" s="11" t="s">
        <v>32</v>
      </c>
      <c r="B14" s="4" t="s">
        <v>33</v>
      </c>
      <c r="C14" s="12" t="s">
        <v>19</v>
      </c>
      <c r="I14" s="3" t="s">
        <v>2</v>
      </c>
    </row>
    <row r="15" spans="1:10" x14ac:dyDescent="0.3">
      <c r="A15" s="11" t="s">
        <v>34</v>
      </c>
      <c r="B15" s="4" t="s">
        <v>35</v>
      </c>
      <c r="C15" s="12" t="s">
        <v>8</v>
      </c>
    </row>
    <row r="16" spans="1:10" x14ac:dyDescent="0.3">
      <c r="A16" s="11" t="s">
        <v>36</v>
      </c>
      <c r="B16" s="4" t="s">
        <v>37</v>
      </c>
      <c r="C16" s="12" t="s">
        <v>16</v>
      </c>
    </row>
    <row r="17" spans="1:6" x14ac:dyDescent="0.3">
      <c r="A17" s="11" t="s">
        <v>38</v>
      </c>
      <c r="B17" s="4" t="s">
        <v>39</v>
      </c>
      <c r="C17" s="12" t="s">
        <v>16</v>
      </c>
    </row>
    <row r="18" spans="1:6" x14ac:dyDescent="0.3">
      <c r="A18" s="11" t="s">
        <v>40</v>
      </c>
      <c r="B18" s="4" t="s">
        <v>41</v>
      </c>
      <c r="C18" s="12" t="s">
        <v>16</v>
      </c>
    </row>
    <row r="19" spans="1:6" x14ac:dyDescent="0.3">
      <c r="A19" s="11" t="s">
        <v>42</v>
      </c>
      <c r="B19" s="4" t="s">
        <v>43</v>
      </c>
      <c r="C19" s="12" t="s">
        <v>19</v>
      </c>
      <c r="F19" s="19" t="s">
        <v>59</v>
      </c>
    </row>
    <row r="20" spans="1:6" x14ac:dyDescent="0.3">
      <c r="A20" s="11" t="s">
        <v>44</v>
      </c>
      <c r="B20" s="4" t="s">
        <v>7</v>
      </c>
      <c r="C20" s="12" t="s">
        <v>8</v>
      </c>
    </row>
    <row r="21" spans="1:6" x14ac:dyDescent="0.3">
      <c r="A21" s="11" t="s">
        <v>45</v>
      </c>
      <c r="B21" s="4" t="s">
        <v>18</v>
      </c>
      <c r="C21" s="12" t="s">
        <v>19</v>
      </c>
    </row>
    <row r="22" spans="1:6" x14ac:dyDescent="0.3">
      <c r="A22" s="11" t="s">
        <v>46</v>
      </c>
      <c r="B22" s="4" t="s">
        <v>47</v>
      </c>
      <c r="C22" s="12" t="s">
        <v>16</v>
      </c>
    </row>
    <row r="23" spans="1:6" x14ac:dyDescent="0.3">
      <c r="A23" s="11" t="s">
        <v>42</v>
      </c>
      <c r="B23" s="4" t="s">
        <v>43</v>
      </c>
      <c r="C23" s="12" t="s">
        <v>19</v>
      </c>
    </row>
    <row r="24" spans="1:6" x14ac:dyDescent="0.3">
      <c r="A24" s="11" t="s">
        <v>48</v>
      </c>
      <c r="B24" s="4" t="s">
        <v>49</v>
      </c>
      <c r="C24" s="12" t="s">
        <v>19</v>
      </c>
    </row>
    <row r="25" spans="1:6" x14ac:dyDescent="0.3">
      <c r="A25" s="11" t="s">
        <v>50</v>
      </c>
      <c r="B25" s="4" t="s">
        <v>51</v>
      </c>
      <c r="C25" s="12" t="s">
        <v>8</v>
      </c>
    </row>
    <row r="26" spans="1:6" x14ac:dyDescent="0.3">
      <c r="A26" s="11" t="s">
        <v>52</v>
      </c>
      <c r="B26" s="4" t="s">
        <v>53</v>
      </c>
      <c r="C26" s="12" t="s">
        <v>8</v>
      </c>
    </row>
    <row r="27" spans="1:6" x14ac:dyDescent="0.3">
      <c r="A27" s="11" t="s">
        <v>54</v>
      </c>
      <c r="B27" s="4" t="s">
        <v>55</v>
      </c>
      <c r="C27" s="12" t="s">
        <v>8</v>
      </c>
    </row>
    <row r="28" spans="1:6" x14ac:dyDescent="0.3">
      <c r="A28" s="16" t="s">
        <v>56</v>
      </c>
      <c r="B28" s="17" t="s">
        <v>57</v>
      </c>
      <c r="C28" s="18" t="s">
        <v>19</v>
      </c>
    </row>
    <row r="47" spans="1:1" x14ac:dyDescent="0.3">
      <c r="A47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65730-BA19-4E0E-ABB2-00785EC0291A}">
  <dimension ref="A1:C27"/>
  <sheetViews>
    <sheetView workbookViewId="0">
      <selection activeCell="C5" sqref="C5"/>
    </sheetView>
  </sheetViews>
  <sheetFormatPr defaultRowHeight="14.4" x14ac:dyDescent="0.3"/>
  <cols>
    <col min="1" max="1" width="12.77734375" customWidth="1"/>
    <col min="2" max="2" width="20.5546875" customWidth="1"/>
    <col min="3" max="3" width="17.6640625" customWidth="1"/>
  </cols>
  <sheetData>
    <row r="1" spans="1:3" x14ac:dyDescent="0.3">
      <c r="A1" s="13" t="s">
        <v>3</v>
      </c>
      <c r="B1" s="14" t="s">
        <v>4</v>
      </c>
      <c r="C1" s="15" t="s">
        <v>5</v>
      </c>
    </row>
    <row r="2" spans="1:3" x14ac:dyDescent="0.3">
      <c r="A2" s="11" t="s">
        <v>6</v>
      </c>
      <c r="B2" s="4" t="str">
        <f>VLOOKUP($A2,'AKILA THARANI - DAY 13'!$A$3:$C$28,2,0)</f>
        <v>Kumar</v>
      </c>
      <c r="C2" s="12" t="str">
        <f>VLOOKUP($A2,'AKILA THARANI - DAY 13'!$A$3:$C$28,3,0)</f>
        <v>Arts</v>
      </c>
    </row>
    <row r="3" spans="1:3" x14ac:dyDescent="0.3">
      <c r="A3" s="11" t="s">
        <v>9</v>
      </c>
      <c r="B3" s="4" t="str">
        <f>VLOOKUP($A3,'AKILA THARANI - DAY 13'!$A$3:$C$28,2,0)</f>
        <v>Raj</v>
      </c>
      <c r="C3" s="12" t="str">
        <f>VLOOKUP($A3,'AKILA THARANI - DAY 13'!$A$3:$C$28,3,0)</f>
        <v>arts</v>
      </c>
    </row>
    <row r="4" spans="1:3" x14ac:dyDescent="0.3">
      <c r="A4" s="11" t="s">
        <v>12</v>
      </c>
      <c r="B4" s="4" t="str">
        <f>VLOOKUP($A4,'AKILA THARANI - DAY 13'!$A$3:$C$28,2,0)</f>
        <v>Rani</v>
      </c>
      <c r="C4" s="12" t="str">
        <f>VLOOKUP($A4,'AKILA THARANI - DAY 13'!$A$3:$C$28,3,0)</f>
        <v>Arts</v>
      </c>
    </row>
    <row r="5" spans="1:3" x14ac:dyDescent="0.3">
      <c r="A5" s="11" t="s">
        <v>14</v>
      </c>
      <c r="B5" s="4" t="str">
        <f>VLOOKUP($A5,'AKILA THARANI - DAY 13'!$A$3:$C$28,2,0)</f>
        <v>Babu</v>
      </c>
      <c r="C5" s="12" t="str">
        <f>VLOOKUP($A5,'AKILA THARANI - DAY 13'!$A$3:$C$28,3,0)</f>
        <v>Commerce</v>
      </c>
    </row>
    <row r="6" spans="1:3" x14ac:dyDescent="0.3">
      <c r="A6" s="11" t="s">
        <v>17</v>
      </c>
      <c r="B6" s="4" t="str">
        <f>VLOOKUP($A6,'AKILA THARANI - DAY 13'!$A$3:$C$28,2,0)</f>
        <v>Devi</v>
      </c>
      <c r="C6" s="12" t="str">
        <f>VLOOKUP($A6,'AKILA THARANI - DAY 13'!$A$3:$C$28,3,0)</f>
        <v>Science</v>
      </c>
    </row>
    <row r="7" spans="1:3" x14ac:dyDescent="0.3">
      <c r="A7" s="11" t="s">
        <v>20</v>
      </c>
      <c r="B7" s="4" t="str">
        <f>VLOOKUP($A7,'AKILA THARANI - DAY 13'!$A$3:$C$28,2,0)</f>
        <v>Muthu</v>
      </c>
      <c r="C7" s="12" t="str">
        <f>VLOOKUP($A7,'AKILA THARANI - DAY 13'!$A$3:$C$28,3,0)</f>
        <v>Commerce</v>
      </c>
    </row>
    <row r="8" spans="1:3" x14ac:dyDescent="0.3">
      <c r="A8" s="11" t="s">
        <v>22</v>
      </c>
      <c r="B8" s="4" t="str">
        <f>VLOOKUP($A8,'AKILA THARANI - DAY 13'!$A$3:$C$28,2,0)</f>
        <v>Lakshmi</v>
      </c>
      <c r="C8" s="12" t="str">
        <f>VLOOKUP($A8,'AKILA THARANI - DAY 13'!$A$3:$C$28,3,0)</f>
        <v>Arts</v>
      </c>
    </row>
    <row r="9" spans="1:3" x14ac:dyDescent="0.3">
      <c r="A9" s="11" t="s">
        <v>24</v>
      </c>
      <c r="B9" s="4" t="str">
        <f>VLOOKUP($A9,'AKILA THARANI - DAY 13'!$A$3:$C$28,2,0)</f>
        <v>Selvi</v>
      </c>
      <c r="C9" s="12" t="str">
        <f>VLOOKUP($A9,'AKILA THARANI - DAY 13'!$A$3:$C$28,3,0)</f>
        <v>Commerce</v>
      </c>
    </row>
    <row r="10" spans="1:3" x14ac:dyDescent="0.3">
      <c r="A10" s="11" t="s">
        <v>26</v>
      </c>
      <c r="B10" s="4" t="str">
        <f>VLOOKUP($A10,'AKILA THARANI - DAY 13'!$A$3:$C$28,2,0)</f>
        <v>Velu</v>
      </c>
      <c r="C10" s="12" t="str">
        <f>VLOOKUP($A10,'AKILA THARANI - DAY 13'!$A$3:$C$28,3,0)</f>
        <v>Commerce</v>
      </c>
    </row>
    <row r="11" spans="1:3" x14ac:dyDescent="0.3">
      <c r="A11" s="11" t="s">
        <v>28</v>
      </c>
      <c r="B11" s="4" t="str">
        <f>VLOOKUP($A11,'AKILA THARANI - DAY 13'!$A$3:$C$28,2,0)</f>
        <v>Gopi</v>
      </c>
      <c r="C11" s="12" t="str">
        <f>VLOOKUP($A11,'AKILA THARANI - DAY 13'!$A$3:$C$28,3,0)</f>
        <v>Science</v>
      </c>
    </row>
    <row r="12" spans="1:3" x14ac:dyDescent="0.3">
      <c r="A12" s="11" t="s">
        <v>30</v>
      </c>
      <c r="B12" s="4" t="str">
        <f>VLOOKUP($A12,'AKILA THARANI - DAY 13'!$A$3:$C$28,2,0)</f>
        <v>Sekar</v>
      </c>
      <c r="C12" s="12" t="str">
        <f>VLOOKUP($A12,'AKILA THARANI - DAY 13'!$A$3:$C$28,3,0)</f>
        <v>arts</v>
      </c>
    </row>
    <row r="13" spans="1:3" x14ac:dyDescent="0.3">
      <c r="A13" s="11" t="s">
        <v>32</v>
      </c>
      <c r="B13" s="4" t="str">
        <f>VLOOKUP($A13,'AKILA THARANI - DAY 13'!$A$3:$C$28,2,0)</f>
        <v>Raji</v>
      </c>
      <c r="C13" s="12" t="str">
        <f>VLOOKUP($A13,'AKILA THARANI - DAY 13'!$A$3:$C$28,3,0)</f>
        <v>Science</v>
      </c>
    </row>
    <row r="14" spans="1:3" x14ac:dyDescent="0.3">
      <c r="A14" s="11" t="s">
        <v>34</v>
      </c>
      <c r="B14" s="4" t="str">
        <f>VLOOKUP($A14,'AKILA THARANI - DAY 13'!$A$3:$C$28,2,0)</f>
        <v>Arul</v>
      </c>
      <c r="C14" s="12" t="str">
        <f>VLOOKUP($A14,'AKILA THARANI - DAY 13'!$A$3:$C$28,3,0)</f>
        <v>Arts</v>
      </c>
    </row>
    <row r="15" spans="1:3" x14ac:dyDescent="0.3">
      <c r="A15" s="11" t="s">
        <v>36</v>
      </c>
      <c r="B15" s="4" t="str">
        <f>VLOOKUP($A15,'AKILA THARANI - DAY 13'!$A$3:$C$28,2,0)</f>
        <v>Radha</v>
      </c>
      <c r="C15" s="12" t="str">
        <f>VLOOKUP($A15,'AKILA THARANI - DAY 13'!$A$3:$C$28,3,0)</f>
        <v>Commerce</v>
      </c>
    </row>
    <row r="16" spans="1:3" x14ac:dyDescent="0.3">
      <c r="A16" s="11" t="s">
        <v>38</v>
      </c>
      <c r="B16" s="4" t="str">
        <f>VLOOKUP($A16,'AKILA THARANI - DAY 13'!$A$3:$C$28,2,0)</f>
        <v>Meena</v>
      </c>
      <c r="C16" s="12" t="str">
        <f>VLOOKUP($A16,'AKILA THARANI - DAY 13'!$A$3:$C$28,3,0)</f>
        <v>Commerce</v>
      </c>
    </row>
    <row r="17" spans="1:3" x14ac:dyDescent="0.3">
      <c r="A17" s="11" t="s">
        <v>40</v>
      </c>
      <c r="B17" s="4" t="str">
        <f>VLOOKUP($A17,'AKILA THARANI - DAY 13'!$A$3:$C$28,2,0)</f>
        <v>Hari</v>
      </c>
      <c r="C17" s="12" t="str">
        <f>VLOOKUP($A17,'AKILA THARANI - DAY 13'!$A$3:$C$28,3,0)</f>
        <v>Commerce</v>
      </c>
    </row>
    <row r="18" spans="1:3" x14ac:dyDescent="0.3">
      <c r="A18" s="11" t="s">
        <v>42</v>
      </c>
      <c r="B18" s="4" t="str">
        <f>VLOOKUP($A18,'AKILA THARANI - DAY 13'!$A$3:$C$28,2,0)</f>
        <v>Raja</v>
      </c>
      <c r="C18" s="12" t="str">
        <f>VLOOKUP($A18,'AKILA THARANI - DAY 13'!$A$3:$C$28,3,0)</f>
        <v>Science</v>
      </c>
    </row>
    <row r="19" spans="1:3" x14ac:dyDescent="0.3">
      <c r="A19" s="11" t="s">
        <v>44</v>
      </c>
      <c r="B19" s="4" t="str">
        <f>VLOOKUP($A19,'AKILA THARANI - DAY 13'!$A$3:$C$28,2,0)</f>
        <v>Kumar</v>
      </c>
      <c r="C19" s="12" t="str">
        <f>VLOOKUP($A19,'AKILA THARANI - DAY 13'!$A$3:$C$28,3,0)</f>
        <v>Arts</v>
      </c>
    </row>
    <row r="20" spans="1:3" x14ac:dyDescent="0.3">
      <c r="A20" s="11" t="s">
        <v>45</v>
      </c>
      <c r="B20" s="4" t="str">
        <f>VLOOKUP($A20,'AKILA THARANI - DAY 13'!$A$3:$C$28,2,0)</f>
        <v>Devi</v>
      </c>
      <c r="C20" s="12" t="str">
        <f>VLOOKUP($A20,'AKILA THARANI - DAY 13'!$A$3:$C$28,3,0)</f>
        <v>Science</v>
      </c>
    </row>
    <row r="21" spans="1:3" x14ac:dyDescent="0.3">
      <c r="A21" s="11" t="s">
        <v>46</v>
      </c>
      <c r="B21" s="4" t="str">
        <f>VLOOKUP($A21,'AKILA THARANI - DAY 13'!$A$3:$C$28,2,0)</f>
        <v>Arasu</v>
      </c>
      <c r="C21" s="12" t="str">
        <f>VLOOKUP($A21,'AKILA THARANI - DAY 13'!$A$3:$C$28,3,0)</f>
        <v>Commerce</v>
      </c>
    </row>
    <row r="22" spans="1:3" x14ac:dyDescent="0.3">
      <c r="A22" s="11" t="s">
        <v>42</v>
      </c>
      <c r="B22" s="4" t="str">
        <f>VLOOKUP($A22,'AKILA THARANI - DAY 13'!$A$3:$C$28,2,0)</f>
        <v>Raja</v>
      </c>
      <c r="C22" s="12" t="str">
        <f>VLOOKUP($A22,'AKILA THARANI - DAY 13'!$A$3:$C$28,3,0)</f>
        <v>Science</v>
      </c>
    </row>
    <row r="23" spans="1:3" x14ac:dyDescent="0.3">
      <c r="A23" s="11" t="s">
        <v>48</v>
      </c>
      <c r="B23" s="4" t="str">
        <f>VLOOKUP($A23,'AKILA THARANI - DAY 13'!$A$3:$C$28,2,0)</f>
        <v>Bala</v>
      </c>
      <c r="C23" s="12" t="str">
        <f>VLOOKUP($A23,'AKILA THARANI - DAY 13'!$A$3:$C$28,3,0)</f>
        <v>Science</v>
      </c>
    </row>
    <row r="24" spans="1:3" x14ac:dyDescent="0.3">
      <c r="A24" s="11" t="s">
        <v>50</v>
      </c>
      <c r="B24" s="4" t="str">
        <f>VLOOKUP($A24,'AKILA THARANI - DAY 13'!$A$3:$C$28,2,0)</f>
        <v>Gokul</v>
      </c>
      <c r="C24" s="12" t="str">
        <f>VLOOKUP($A24,'AKILA THARANI - DAY 13'!$A$3:$C$28,3,0)</f>
        <v>Arts</v>
      </c>
    </row>
    <row r="25" spans="1:3" x14ac:dyDescent="0.3">
      <c r="A25" s="11" t="s">
        <v>52</v>
      </c>
      <c r="B25" s="4" t="str">
        <f>VLOOKUP($A25,'AKILA THARANI - DAY 13'!$A$3:$C$28,2,0)</f>
        <v>divya</v>
      </c>
      <c r="C25" s="12" t="str">
        <f>VLOOKUP($A25,'AKILA THARANI - DAY 13'!$A$3:$C$28,3,0)</f>
        <v>Arts</v>
      </c>
    </row>
    <row r="26" spans="1:3" x14ac:dyDescent="0.3">
      <c r="A26" s="11" t="s">
        <v>54</v>
      </c>
      <c r="B26" s="4" t="str">
        <f>VLOOKUP($A26,'AKILA THARANI - DAY 13'!$A$3:$C$28,2,0)</f>
        <v>Yamuna</v>
      </c>
      <c r="C26" s="12" t="str">
        <f>VLOOKUP($A26,'AKILA THARANI - DAY 13'!$A$3:$C$28,3,0)</f>
        <v>Arts</v>
      </c>
    </row>
    <row r="27" spans="1:3" x14ac:dyDescent="0.3">
      <c r="A27" s="16" t="s">
        <v>56</v>
      </c>
      <c r="B27" s="17" t="str">
        <f>VLOOKUP($A27,'AKILA THARANI - DAY 13'!$A$3:$C$28,2,0)</f>
        <v>Nila</v>
      </c>
      <c r="C27" s="18" t="str">
        <f>VLOOKUP($A27,'AKILA THARANI - DAY 13'!$A$3:$C$28,3,0)</f>
        <v>Science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AKILA THARANI - DAY 13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 tharani</dc:creator>
  <cp:lastModifiedBy>akila tharani</cp:lastModifiedBy>
  <dcterms:created xsi:type="dcterms:W3CDTF">2025-10-29T19:32:31Z</dcterms:created>
  <dcterms:modified xsi:type="dcterms:W3CDTF">2025-11-14T12:52:55Z</dcterms:modified>
</cp:coreProperties>
</file>