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AKILA THARANI MS Excel 21 Day Tasks/"/>
    </mc:Choice>
  </mc:AlternateContent>
  <xr:revisionPtr revIDLastSave="207" documentId="8_{B9DACB40-7A9F-463A-9D08-BD270308434D}" xr6:coauthVersionLast="47" xr6:coauthVersionMax="47" xr10:uidLastSave="{6E02BF51-6814-45B5-A282-7F73D6E586C5}"/>
  <bookViews>
    <workbookView xWindow="-108" yWindow="-108" windowWidth="23256" windowHeight="12456" xr2:uid="{40C8F4FA-22D0-4AE7-B153-5909987E4493}"/>
  </bookViews>
  <sheets>
    <sheet name="AKILA THARANI - DAY 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E3" i="1"/>
  <c r="E4" i="1"/>
  <c r="E5" i="1"/>
  <c r="E6" i="1"/>
  <c r="E7" i="1"/>
  <c r="E8" i="1"/>
  <c r="E9" i="1"/>
  <c r="E10" i="1"/>
  <c r="E2" i="1"/>
  <c r="F3" i="1"/>
  <c r="F4" i="1"/>
  <c r="F5" i="1"/>
  <c r="F6" i="1"/>
  <c r="F7" i="1"/>
  <c r="F8" i="1"/>
  <c r="F9" i="1"/>
  <c r="F10" i="1"/>
  <c r="F2" i="1"/>
  <c r="K9" i="1"/>
  <c r="K10" i="1" s="1"/>
  <c r="K8" i="1"/>
</calcChain>
</file>

<file path=xl/sharedStrings.xml><?xml version="1.0" encoding="utf-8"?>
<sst xmlns="http://schemas.openxmlformats.org/spreadsheetml/2006/main" count="24" uniqueCount="24">
  <si>
    <t>Day 12 – Date &amp; Time Functions</t>
  </si>
  <si>
    <t>Practice: TODAY(), NOW(), YEAR(), MONTH(), WEEKDAY(), DATEDIF()</t>
  </si>
  <si>
    <r>
      <t>Task:</t>
    </r>
    <r>
      <rPr>
        <sz val="13.95"/>
        <color rgb="FF000000"/>
        <rFont val="Arial"/>
        <family val="2"/>
      </rPr>
      <t xml:space="preserve"> Calculate age, duration, or time differences from your dataset.</t>
    </r>
  </si>
  <si>
    <t>Employee Name</t>
  </si>
  <si>
    <t>Start Date</t>
  </si>
  <si>
    <t xml:space="preserve">End Date </t>
  </si>
  <si>
    <t xml:space="preserve">Hours Worked </t>
  </si>
  <si>
    <t>Project Status</t>
  </si>
  <si>
    <t>Project Duration ( Days)</t>
  </si>
  <si>
    <t>Anitha</t>
  </si>
  <si>
    <t>Rani</t>
  </si>
  <si>
    <t>Latha</t>
  </si>
  <si>
    <t>Riya</t>
  </si>
  <si>
    <t>Erica</t>
  </si>
  <si>
    <t>Ram</t>
  </si>
  <si>
    <t>Lakshmi</t>
  </si>
  <si>
    <t>Anjali</t>
  </si>
  <si>
    <t>Shruti</t>
  </si>
  <si>
    <t>Date&amp;Time</t>
  </si>
  <si>
    <t xml:space="preserve">Date </t>
  </si>
  <si>
    <t>Last Date For Submission</t>
  </si>
  <si>
    <t>WEEKDAY</t>
  </si>
  <si>
    <t>Month of Start Date Column</t>
  </si>
  <si>
    <t>Year of End Date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</si>
</sst>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  <font>
      <sz val="13.95"/>
      <color rgb="FF000000"/>
      <name val="Arial"/>
      <family val="2"/>
    </font>
    <font>
      <b/>
      <sz val="13.95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2" fontId="0" fillId="8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B9811-A104-4177-8789-DD6FFE68E844}" name="Table1" displayName="Table1" ref="A1:H10" totalsRowShown="0" headerRowDxfId="10" dataDxfId="9" tableBorderDxfId="8">
  <autoFilter ref="A1:H10" xr:uid="{B8BB9811-A104-4177-8789-DD6FFE68E844}"/>
  <tableColumns count="8">
    <tableColumn id="1" xr3:uid="{73634DE6-C3EF-4BDF-AF3E-7F5B00B3A42C}" name="Employee Name" dataDxfId="7"/>
    <tableColumn id="2" xr3:uid="{2DE87CC5-726C-4F4F-B430-B646F082F5CE}" name="Start Date" dataDxfId="6"/>
    <tableColumn id="3" xr3:uid="{299BF9CF-BD1A-4044-ACE3-A5B840A27D3B}" name="End Date " dataDxfId="5"/>
    <tableColumn id="4" xr3:uid="{CFBFFDE8-4B2F-4AE8-9BBB-B717980753A9}" name="Hours Worked " dataDxfId="4"/>
    <tableColumn id="5" xr3:uid="{17EF19BE-64A1-4A9A-B7B9-F18E9024C691}" name="Project Status" dataDxfId="3">
      <calculatedColumnFormula>IF(C2&lt;=$D$12, "Completed", "Incomplete" )</calculatedColumnFormula>
    </tableColumn>
    <tableColumn id="6" xr3:uid="{168694C4-4E91-4485-AE6A-D62F453D31FF}" name="Project Duration ( Days)" dataDxfId="2">
      <calculatedColumnFormula>DATEDIF(B2, C2, "d" )</calculatedColumnFormula>
    </tableColumn>
    <tableColumn id="7" xr3:uid="{E8242786-BCA4-442B-AF7F-DDE34465BF0C}" name="Month of Start Date Column" dataDxfId="1">
      <calculatedColumnFormula>MONTH(B2)</calculatedColumnFormula>
    </tableColumn>
    <tableColumn id="8" xr3:uid="{3C714A1B-75A3-42B9-8DA7-20F03022EFF2}" name="Year of End Date Column" dataDxfId="0">
      <calculatedColumnFormula>YEAR(C2)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47BA-E2DB-42C8-8309-CB6928098AEA}">
  <dimension ref="A1:P14"/>
  <sheetViews>
    <sheetView tabSelected="1" zoomScale="88" zoomScaleNormal="88" workbookViewId="0">
      <selection activeCell="C20" sqref="C20"/>
    </sheetView>
  </sheetViews>
  <sheetFormatPr defaultRowHeight="14.4" x14ac:dyDescent="0.3"/>
  <cols>
    <col min="1" max="1" width="16.5546875" customWidth="1"/>
    <col min="2" max="2" width="16" customWidth="1"/>
    <col min="3" max="3" width="22.33203125" customWidth="1"/>
    <col min="4" max="4" width="14.6640625" style="4" customWidth="1"/>
    <col min="5" max="5" width="14.5546875" style="4" customWidth="1"/>
    <col min="6" max="6" width="21.77734375" customWidth="1"/>
    <col min="7" max="7" width="25.21875" customWidth="1"/>
    <col min="8" max="8" width="22.88671875" style="4" customWidth="1"/>
    <col min="10" max="10" width="13.44140625" customWidth="1"/>
    <col min="11" max="11" width="16" bestFit="1" customWidth="1"/>
  </cols>
  <sheetData>
    <row r="1" spans="1:16" x14ac:dyDescent="0.3">
      <c r="A1" s="16" t="s">
        <v>3</v>
      </c>
      <c r="B1" s="15" t="s">
        <v>4</v>
      </c>
      <c r="C1" s="15" t="s">
        <v>5</v>
      </c>
      <c r="D1" s="15" t="s">
        <v>6</v>
      </c>
      <c r="E1" s="15" t="s">
        <v>7</v>
      </c>
      <c r="F1" s="15" t="s">
        <v>8</v>
      </c>
      <c r="G1" s="15" t="s">
        <v>22</v>
      </c>
      <c r="H1" s="18" t="s">
        <v>23</v>
      </c>
    </row>
    <row r="2" spans="1:16" x14ac:dyDescent="0.3">
      <c r="A2" s="17" t="s">
        <v>9</v>
      </c>
      <c r="B2" s="6">
        <v>45931</v>
      </c>
      <c r="C2" s="6">
        <v>45940</v>
      </c>
      <c r="D2" s="5">
        <v>80</v>
      </c>
      <c r="E2" s="5" t="str">
        <f>IF(C2&lt;=$D$12, "Completed", "Incomplete" )</f>
        <v>Completed</v>
      </c>
      <c r="F2" s="5">
        <f>DATEDIF(B2, C2, "d" )</f>
        <v>9</v>
      </c>
      <c r="G2" s="5">
        <f>MONTH(B2)</f>
        <v>10</v>
      </c>
      <c r="H2" s="19">
        <f>YEAR(C2)</f>
        <v>2025</v>
      </c>
    </row>
    <row r="3" spans="1:16" x14ac:dyDescent="0.3">
      <c r="A3" s="17" t="s">
        <v>10</v>
      </c>
      <c r="B3" s="6">
        <v>45935</v>
      </c>
      <c r="C3" s="6">
        <v>45955</v>
      </c>
      <c r="D3" s="5">
        <v>75</v>
      </c>
      <c r="E3" s="5" t="str">
        <f t="shared" ref="E3:E10" si="0">IF(C3&lt;=$D$12, "Completed", "Incomplete" )</f>
        <v>Completed</v>
      </c>
      <c r="F3" s="5">
        <f t="shared" ref="F3:F10" si="1">DATEDIF(B3, C3, "d" )</f>
        <v>20</v>
      </c>
      <c r="G3" s="5">
        <f t="shared" ref="G3:G10" si="2">MONTH(B3)</f>
        <v>10</v>
      </c>
      <c r="H3" s="19">
        <f t="shared" ref="H3:H10" si="3">YEAR(C3)</f>
        <v>2025</v>
      </c>
    </row>
    <row r="4" spans="1:16" x14ac:dyDescent="0.3">
      <c r="A4" s="17" t="s">
        <v>11</v>
      </c>
      <c r="B4" s="6">
        <v>45940</v>
      </c>
      <c r="C4" s="6">
        <v>45950</v>
      </c>
      <c r="D4" s="5">
        <v>40</v>
      </c>
      <c r="E4" s="5" t="str">
        <f t="shared" si="0"/>
        <v>Completed</v>
      </c>
      <c r="F4" s="5">
        <f t="shared" si="1"/>
        <v>10</v>
      </c>
      <c r="G4" s="5">
        <f t="shared" si="2"/>
        <v>10</v>
      </c>
      <c r="H4" s="19">
        <f t="shared" si="3"/>
        <v>2025</v>
      </c>
    </row>
    <row r="5" spans="1:16" x14ac:dyDescent="0.3">
      <c r="A5" s="17" t="s">
        <v>12</v>
      </c>
      <c r="B5" s="6">
        <v>45942</v>
      </c>
      <c r="C5" s="6">
        <v>45952</v>
      </c>
      <c r="D5" s="5">
        <v>60</v>
      </c>
      <c r="E5" s="5" t="str">
        <f t="shared" si="0"/>
        <v>Completed</v>
      </c>
      <c r="F5" s="5">
        <f t="shared" si="1"/>
        <v>10</v>
      </c>
      <c r="G5" s="5">
        <f t="shared" si="2"/>
        <v>10</v>
      </c>
      <c r="H5" s="19">
        <f t="shared" si="3"/>
        <v>2025</v>
      </c>
    </row>
    <row r="6" spans="1:16" x14ac:dyDescent="0.3">
      <c r="A6" s="17" t="s">
        <v>13</v>
      </c>
      <c r="B6" s="6">
        <v>45931</v>
      </c>
      <c r="C6" s="6">
        <v>45960</v>
      </c>
      <c r="D6" s="5">
        <v>90</v>
      </c>
      <c r="E6" s="5" t="str">
        <f t="shared" si="0"/>
        <v>Completed</v>
      </c>
      <c r="F6" s="5">
        <f t="shared" si="1"/>
        <v>29</v>
      </c>
      <c r="G6" s="5">
        <f t="shared" si="2"/>
        <v>10</v>
      </c>
      <c r="H6" s="19">
        <f t="shared" si="3"/>
        <v>2025</v>
      </c>
    </row>
    <row r="7" spans="1:16" x14ac:dyDescent="0.3">
      <c r="A7" s="17" t="s">
        <v>14</v>
      </c>
      <c r="B7" s="6">
        <v>45962</v>
      </c>
      <c r="C7" s="6">
        <v>45976</v>
      </c>
      <c r="D7" s="5">
        <v>85</v>
      </c>
      <c r="E7" s="5" t="str">
        <f t="shared" si="0"/>
        <v>Completed</v>
      </c>
      <c r="F7" s="5">
        <f t="shared" si="1"/>
        <v>14</v>
      </c>
      <c r="G7" s="5">
        <f t="shared" si="2"/>
        <v>11</v>
      </c>
      <c r="H7" s="19">
        <f t="shared" si="3"/>
        <v>2025</v>
      </c>
    </row>
    <row r="8" spans="1:16" x14ac:dyDescent="0.3">
      <c r="A8" s="17" t="s">
        <v>15</v>
      </c>
      <c r="B8" s="6">
        <v>45964</v>
      </c>
      <c r="C8" s="6">
        <v>45969</v>
      </c>
      <c r="D8" s="5">
        <v>50</v>
      </c>
      <c r="E8" s="5" t="str">
        <f t="shared" si="0"/>
        <v>Completed</v>
      </c>
      <c r="F8" s="5">
        <f t="shared" si="1"/>
        <v>5</v>
      </c>
      <c r="G8" s="5">
        <f t="shared" si="2"/>
        <v>11</v>
      </c>
      <c r="H8" s="19">
        <f t="shared" si="3"/>
        <v>2025</v>
      </c>
      <c r="J8" s="9" t="s">
        <v>18</v>
      </c>
      <c r="K8" s="10">
        <f ca="1">NOW()</f>
        <v>45975.760211226851</v>
      </c>
    </row>
    <row r="9" spans="1:16" x14ac:dyDescent="0.3">
      <c r="A9" s="17" t="s">
        <v>16</v>
      </c>
      <c r="B9" s="6">
        <v>45966</v>
      </c>
      <c r="C9" s="6">
        <v>45986</v>
      </c>
      <c r="D9" s="5">
        <v>70</v>
      </c>
      <c r="E9" s="5" t="str">
        <f t="shared" si="0"/>
        <v>Incomplete</v>
      </c>
      <c r="F9" s="5">
        <f t="shared" si="1"/>
        <v>20</v>
      </c>
      <c r="G9" s="5">
        <f t="shared" si="2"/>
        <v>11</v>
      </c>
      <c r="H9" s="19">
        <f t="shared" si="3"/>
        <v>2025</v>
      </c>
      <c r="J9" s="11" t="s">
        <v>19</v>
      </c>
      <c r="K9" s="12">
        <f ca="1">TODAY()</f>
        <v>45975</v>
      </c>
    </row>
    <row r="10" spans="1:16" x14ac:dyDescent="0.3">
      <c r="A10" s="20" t="s">
        <v>17</v>
      </c>
      <c r="B10" s="21">
        <v>45971</v>
      </c>
      <c r="C10" s="21">
        <v>45989</v>
      </c>
      <c r="D10" s="22">
        <v>65</v>
      </c>
      <c r="E10" s="22" t="str">
        <f t="shared" si="0"/>
        <v>Incomplete</v>
      </c>
      <c r="F10" s="22">
        <f t="shared" si="1"/>
        <v>18</v>
      </c>
      <c r="G10" s="22">
        <f t="shared" si="2"/>
        <v>11</v>
      </c>
      <c r="H10" s="23">
        <f t="shared" si="3"/>
        <v>2025</v>
      </c>
      <c r="J10" s="13" t="s">
        <v>21</v>
      </c>
      <c r="K10" s="14">
        <f ca="1">WEEKDAY(K9)</f>
        <v>6</v>
      </c>
    </row>
    <row r="12" spans="1:16" ht="17.399999999999999" x14ac:dyDescent="0.3">
      <c r="C12" s="7" t="s">
        <v>20</v>
      </c>
      <c r="D12" s="8">
        <v>45981</v>
      </c>
      <c r="P12" s="1" t="s">
        <v>0</v>
      </c>
    </row>
    <row r="13" spans="1:16" ht="17.399999999999999" x14ac:dyDescent="0.3">
      <c r="P13" s="2" t="s">
        <v>1</v>
      </c>
    </row>
    <row r="14" spans="1:16" ht="17.399999999999999" x14ac:dyDescent="0.3">
      <c r="P14" s="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AKILA THARANI - DAY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2025-10-29T19:31:30Z</dcterms:created>
  <dcterms:modified xsi:type="dcterms:W3CDTF">2025-11-14T12:45:38Z</dcterms:modified>
</cp:coreProperties>
</file>