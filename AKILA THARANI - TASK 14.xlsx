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fd8a224562755fe/Documents/AKILA THARANI MS Excel 21 Day Tasks/"/>
    </mc:Choice>
  </mc:AlternateContent>
  <xr:revisionPtr revIDLastSave="47" documentId="8_{DFC3CEAF-66E9-4E02-BFBE-9760B10F7991}" xr6:coauthVersionLast="47" xr6:coauthVersionMax="47" xr10:uidLastSave="{D5814A2D-FB70-490B-B66A-9F8D43481BA9}"/>
  <bookViews>
    <workbookView xWindow="-108" yWindow="-108" windowWidth="23256" windowHeight="12456" xr2:uid="{94B19844-1592-4770-B88E-E6C3F229C4B2}"/>
  </bookViews>
  <sheets>
    <sheet name="AKILA THARANI - DAY 1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" i="1"/>
  <c r="J6" i="1"/>
</calcChain>
</file>

<file path=xl/sharedStrings.xml><?xml version="1.0" encoding="utf-8"?>
<sst xmlns="http://schemas.openxmlformats.org/spreadsheetml/2006/main" count="113" uniqueCount="87">
  <si>
    <t>Day 14 – (Part 2)</t>
  </si>
  <si>
    <t>Use: INDEX(), MATCH()</t>
  </si>
  <si>
    <r>
      <t>Task:</t>
    </r>
    <r>
      <rPr>
        <sz val="13.95"/>
        <color rgb="FF000000"/>
        <rFont val="Arial"/>
        <family val="2"/>
      </rPr>
      <t xml:space="preserve"> Use INDEX and MATCH to fill missing values in one column by fetching the correct data from another related table.</t>
    </r>
  </si>
  <si>
    <t>Name</t>
  </si>
  <si>
    <t>Last Name</t>
  </si>
  <si>
    <t>Dept</t>
  </si>
  <si>
    <t>Mark</t>
  </si>
  <si>
    <t>Attendance (%)</t>
  </si>
  <si>
    <t>Gender_Age</t>
  </si>
  <si>
    <t>S1000</t>
  </si>
  <si>
    <t>Ravi</t>
  </si>
  <si>
    <t>Kumar</t>
  </si>
  <si>
    <t>Arts</t>
  </si>
  <si>
    <t>M22</t>
  </si>
  <si>
    <t>S1001</t>
  </si>
  <si>
    <t>Mohan</t>
  </si>
  <si>
    <t>Raj</t>
  </si>
  <si>
    <t>arts</t>
  </si>
  <si>
    <t>M34</t>
  </si>
  <si>
    <t>S1002</t>
  </si>
  <si>
    <t>deepthiKha</t>
  </si>
  <si>
    <t>Rani</t>
  </si>
  <si>
    <t>F21</t>
  </si>
  <si>
    <t>S1003</t>
  </si>
  <si>
    <t>Manohar</t>
  </si>
  <si>
    <t>Babu</t>
  </si>
  <si>
    <t>Commerce</t>
  </si>
  <si>
    <t>M25</t>
  </si>
  <si>
    <t>S1004</t>
  </si>
  <si>
    <t>Priyanka</t>
  </si>
  <si>
    <t>Devi</t>
  </si>
  <si>
    <t>Science</t>
  </si>
  <si>
    <t>F23</t>
  </si>
  <si>
    <t>S1005</t>
  </si>
  <si>
    <t>Vinoth</t>
  </si>
  <si>
    <t>Muthu</t>
  </si>
  <si>
    <t>M26</t>
  </si>
  <si>
    <t>S1006</t>
  </si>
  <si>
    <t>Shanthi</t>
  </si>
  <si>
    <t>Lakshmi</t>
  </si>
  <si>
    <t>F29</t>
  </si>
  <si>
    <t>S1007</t>
  </si>
  <si>
    <t>manimegalai</t>
  </si>
  <si>
    <t>Selvi</t>
  </si>
  <si>
    <t>F28</t>
  </si>
  <si>
    <t>S1008</t>
  </si>
  <si>
    <t>Karthi</t>
  </si>
  <si>
    <t>Velu</t>
  </si>
  <si>
    <t>S1009</t>
  </si>
  <si>
    <t>Mari</t>
  </si>
  <si>
    <t>Gopi</t>
  </si>
  <si>
    <t>M23</t>
  </si>
  <si>
    <t>S1010</t>
  </si>
  <si>
    <t>Mahesh</t>
  </si>
  <si>
    <t>Sekar</t>
  </si>
  <si>
    <t>M24</t>
  </si>
  <si>
    <t>S1011</t>
  </si>
  <si>
    <t>sangeetha</t>
  </si>
  <si>
    <t>Raji</t>
  </si>
  <si>
    <t>F22</t>
  </si>
  <si>
    <t>S1012</t>
  </si>
  <si>
    <t>Raghul</t>
  </si>
  <si>
    <t>Arul</t>
  </si>
  <si>
    <t>S1013</t>
  </si>
  <si>
    <t>Jothi</t>
  </si>
  <si>
    <t>Radha</t>
  </si>
  <si>
    <t>F26</t>
  </si>
  <si>
    <t>S1014</t>
  </si>
  <si>
    <t>Anisha</t>
  </si>
  <si>
    <t>Meena</t>
  </si>
  <si>
    <t>F27</t>
  </si>
  <si>
    <t>S1015</t>
  </si>
  <si>
    <t>Venkat</t>
  </si>
  <si>
    <t>Hari</t>
  </si>
  <si>
    <t>S1016</t>
  </si>
  <si>
    <t>Chandru</t>
  </si>
  <si>
    <t>Raja</t>
  </si>
  <si>
    <t>S1017</t>
  </si>
  <si>
    <t>Dinesh</t>
  </si>
  <si>
    <t>S1018</t>
  </si>
  <si>
    <t>Poorvika</t>
  </si>
  <si>
    <t>S1019</t>
  </si>
  <si>
    <t>Vimal</t>
  </si>
  <si>
    <t>Arasu</t>
  </si>
  <si>
    <t>Used INDEX &amp; MATCH Function for Dinesh and result is 74</t>
  </si>
  <si>
    <t>Mark 2</t>
  </si>
  <si>
    <t>rts &amp; Graphs (Part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</si>
</sst>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3.95"/>
      <color rgb="FF0B5394"/>
      <name val="Arial"/>
      <family val="2"/>
    </font>
    <font>
      <sz val="13.95"/>
      <color rgb="FF000000"/>
      <name val="Arial"/>
      <family val="2"/>
    </font>
    <font>
      <b/>
      <sz val="13.95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13"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5135DC-2622-4B28-99A3-CC3C2B54FC0E}" name="Table1" displayName="Table1" ref="A1:H21" totalsRowShown="0" headerRowDxfId="12" dataDxfId="10" headerRowBorderDxfId="11" tableBorderDxfId="9" totalsRowBorderDxfId="8">
  <autoFilter ref="A1:H21" xr:uid="{F85135DC-2622-4B28-99A3-CC3C2B54FC0E}"/>
  <tableColumns count="8">
    <tableColumn id="1" xr3:uid="{27170D33-B6A6-4C74-B1E5-D222C0899024}" name="rts &amp; Graphs (Part 1)" dataDxfId="7"/>
    <tableColumn id="2" xr3:uid="{A8E0E7B9-4E7B-4FEF-9DDB-D064DF99EB01}" name="Name" dataDxfId="6"/>
    <tableColumn id="3" xr3:uid="{F84A86C8-0DB8-4C54-ABA7-B1CD3CB85B5D}" name="Last Name" dataDxfId="5"/>
    <tableColumn id="4" xr3:uid="{55AA3684-6A04-42D3-B8A5-CB4FE647E225}" name="Dept" dataDxfId="4"/>
    <tableColumn id="5" xr3:uid="{4437F2E1-917A-4E67-AFB5-4CF1B7EC887B}" name="Mark" dataDxfId="3"/>
    <tableColumn id="6" xr3:uid="{1EF2F7C4-C6F0-4689-A995-65074CC08BD8}" name="Attendance (%)" dataDxfId="2"/>
    <tableColumn id="7" xr3:uid="{29CA9015-4E6D-4D72-8DC7-1C02D5B52D16}" name="Gender_Age" dataDxfId="1"/>
    <tableColumn id="8" xr3:uid="{E9B11A1B-480F-4129-B378-644D6A4CBABA}" name="Mark 2" dataDxfId="0">
      <calculatedColumnFormula>INDEX($E$2:$E$27,MATCH($B2,$B$2:$B$27,0))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4917C-DD58-4216-9088-8BB151816E78}">
  <dimension ref="A1:O21"/>
  <sheetViews>
    <sheetView tabSelected="1" topLeftCell="J2" workbookViewId="0">
      <selection activeCell="E12" sqref="E12"/>
    </sheetView>
  </sheetViews>
  <sheetFormatPr defaultRowHeight="14.4" x14ac:dyDescent="0.3"/>
  <cols>
    <col min="1" max="1" width="13.109375" customWidth="1"/>
    <col min="2" max="2" width="13.44140625" customWidth="1"/>
    <col min="3" max="3" width="14.21875" customWidth="1"/>
    <col min="4" max="4" width="13" customWidth="1"/>
    <col min="5" max="5" width="13.33203125" customWidth="1"/>
    <col min="6" max="6" width="15.6640625" customWidth="1"/>
    <col min="7" max="7" width="13.109375" customWidth="1"/>
    <col min="8" max="8" width="16.6640625" style="7" customWidth="1"/>
  </cols>
  <sheetData>
    <row r="1" spans="1:15" ht="19.8" customHeight="1" x14ac:dyDescent="0.3">
      <c r="A1" s="10" t="s">
        <v>86</v>
      </c>
      <c r="B1" s="11" t="s">
        <v>3</v>
      </c>
      <c r="C1" s="11" t="s">
        <v>4</v>
      </c>
      <c r="D1" s="11" t="s">
        <v>5</v>
      </c>
      <c r="E1" s="11" t="s">
        <v>6</v>
      </c>
      <c r="F1" s="11" t="s">
        <v>7</v>
      </c>
      <c r="G1" s="11" t="s">
        <v>8</v>
      </c>
      <c r="H1" s="12" t="s">
        <v>85</v>
      </c>
    </row>
    <row r="2" spans="1:15" x14ac:dyDescent="0.3">
      <c r="A2" s="8" t="s">
        <v>9</v>
      </c>
      <c r="B2" s="4" t="s">
        <v>10</v>
      </c>
      <c r="C2" s="4" t="s">
        <v>11</v>
      </c>
      <c r="D2" s="4" t="s">
        <v>12</v>
      </c>
      <c r="E2" s="4">
        <v>76</v>
      </c>
      <c r="F2" s="4">
        <v>82</v>
      </c>
      <c r="G2" s="4" t="s">
        <v>13</v>
      </c>
      <c r="H2" s="9">
        <f>INDEX($E$2:$E$27,MATCH($B2,$B$2:$B$27,0))</f>
        <v>76</v>
      </c>
    </row>
    <row r="3" spans="1:15" x14ac:dyDescent="0.3">
      <c r="A3" s="8" t="s">
        <v>14</v>
      </c>
      <c r="B3" s="4" t="s">
        <v>15</v>
      </c>
      <c r="C3" s="4" t="s">
        <v>16</v>
      </c>
      <c r="D3" s="4" t="s">
        <v>17</v>
      </c>
      <c r="E3" s="4">
        <v>71</v>
      </c>
      <c r="F3" s="4"/>
      <c r="G3" s="4" t="s">
        <v>18</v>
      </c>
      <c r="H3" s="9">
        <f t="shared" ref="H3:H21" si="0">INDEX($E$2:$E$27,MATCH($B3,$B$2:$B$27,0))</f>
        <v>71</v>
      </c>
      <c r="K3" s="6" t="s">
        <v>78</v>
      </c>
    </row>
    <row r="4" spans="1:15" x14ac:dyDescent="0.3">
      <c r="A4" s="8" t="s">
        <v>19</v>
      </c>
      <c r="B4" s="4" t="s">
        <v>20</v>
      </c>
      <c r="C4" s="4" t="s">
        <v>21</v>
      </c>
      <c r="D4" s="4" t="s">
        <v>12</v>
      </c>
      <c r="E4" s="4">
        <v>39</v>
      </c>
      <c r="F4" s="4">
        <v>65</v>
      </c>
      <c r="G4" s="4" t="s">
        <v>22</v>
      </c>
      <c r="H4" s="9">
        <f t="shared" si="0"/>
        <v>39</v>
      </c>
    </row>
    <row r="5" spans="1:15" x14ac:dyDescent="0.3">
      <c r="A5" s="8" t="s">
        <v>23</v>
      </c>
      <c r="B5" s="4" t="s">
        <v>24</v>
      </c>
      <c r="C5" s="4" t="s">
        <v>25</v>
      </c>
      <c r="D5" s="4" t="s">
        <v>26</v>
      </c>
      <c r="E5" s="4">
        <v>72</v>
      </c>
      <c r="F5" s="4">
        <v>93</v>
      </c>
      <c r="G5" s="4" t="s">
        <v>27</v>
      </c>
      <c r="H5" s="9">
        <f t="shared" si="0"/>
        <v>72</v>
      </c>
      <c r="I5" t="s">
        <v>84</v>
      </c>
    </row>
    <row r="6" spans="1:15" x14ac:dyDescent="0.3">
      <c r="A6" s="8" t="s">
        <v>28</v>
      </c>
      <c r="B6" s="4" t="s">
        <v>29</v>
      </c>
      <c r="C6" s="4" t="s">
        <v>30</v>
      </c>
      <c r="D6" s="4" t="s">
        <v>31</v>
      </c>
      <c r="E6" s="4">
        <v>60</v>
      </c>
      <c r="F6" s="4">
        <v>73</v>
      </c>
      <c r="G6" s="4" t="s">
        <v>32</v>
      </c>
      <c r="H6" s="9">
        <f t="shared" si="0"/>
        <v>60</v>
      </c>
      <c r="J6" s="5">
        <f>INDEX(E2:E21,MATCH(K3,B2:B21,0))</f>
        <v>74</v>
      </c>
    </row>
    <row r="7" spans="1:15" x14ac:dyDescent="0.3">
      <c r="A7" s="8" t="s">
        <v>33</v>
      </c>
      <c r="B7" s="4" t="s">
        <v>34</v>
      </c>
      <c r="C7" s="4" t="s">
        <v>35</v>
      </c>
      <c r="D7" s="4" t="s">
        <v>26</v>
      </c>
      <c r="E7" s="4">
        <v>84</v>
      </c>
      <c r="F7" s="4">
        <v>62</v>
      </c>
      <c r="G7" s="4" t="s">
        <v>36</v>
      </c>
      <c r="H7" s="9">
        <f t="shared" si="0"/>
        <v>84</v>
      </c>
    </row>
    <row r="8" spans="1:15" x14ac:dyDescent="0.3">
      <c r="A8" s="8" t="s">
        <v>37</v>
      </c>
      <c r="B8" s="4" t="s">
        <v>38</v>
      </c>
      <c r="C8" s="4" t="s">
        <v>39</v>
      </c>
      <c r="D8" s="4" t="s">
        <v>12</v>
      </c>
      <c r="E8" s="4">
        <v>60</v>
      </c>
      <c r="F8" s="4">
        <v>86</v>
      </c>
      <c r="G8" s="4" t="s">
        <v>40</v>
      </c>
      <c r="H8" s="9">
        <f t="shared" si="0"/>
        <v>60</v>
      </c>
    </row>
    <row r="9" spans="1:15" x14ac:dyDescent="0.3">
      <c r="A9" s="8" t="s">
        <v>41</v>
      </c>
      <c r="B9" s="4" t="s">
        <v>42</v>
      </c>
      <c r="C9" s="4" t="s">
        <v>43</v>
      </c>
      <c r="D9" s="4" t="s">
        <v>26</v>
      </c>
      <c r="E9" s="4">
        <v>98</v>
      </c>
      <c r="F9" s="4">
        <v>96</v>
      </c>
      <c r="G9" s="4" t="s">
        <v>44</v>
      </c>
      <c r="H9" s="9">
        <f t="shared" si="0"/>
        <v>98</v>
      </c>
    </row>
    <row r="10" spans="1:15" ht="17.399999999999999" x14ac:dyDescent="0.3">
      <c r="A10" s="8" t="s">
        <v>45</v>
      </c>
      <c r="B10" s="4" t="s">
        <v>46</v>
      </c>
      <c r="C10" s="4" t="s">
        <v>47</v>
      </c>
      <c r="D10" s="4" t="s">
        <v>26</v>
      </c>
      <c r="E10" s="4">
        <v>44</v>
      </c>
      <c r="F10" s="4">
        <v>95</v>
      </c>
      <c r="G10" s="4" t="s">
        <v>13</v>
      </c>
      <c r="H10" s="9">
        <f t="shared" si="0"/>
        <v>44</v>
      </c>
      <c r="O10" s="1" t="s">
        <v>0</v>
      </c>
    </row>
    <row r="11" spans="1:15" ht="17.399999999999999" x14ac:dyDescent="0.3">
      <c r="A11" s="8" t="s">
        <v>48</v>
      </c>
      <c r="B11" s="4" t="s">
        <v>49</v>
      </c>
      <c r="C11" s="4" t="s">
        <v>50</v>
      </c>
      <c r="D11" s="4" t="s">
        <v>31</v>
      </c>
      <c r="E11" s="4">
        <v>94</v>
      </c>
      <c r="F11" s="4">
        <v>66</v>
      </c>
      <c r="G11" s="4" t="s">
        <v>51</v>
      </c>
      <c r="H11" s="9">
        <f t="shared" si="0"/>
        <v>94</v>
      </c>
      <c r="O11" s="2" t="s">
        <v>1</v>
      </c>
    </row>
    <row r="12" spans="1:15" ht="17.399999999999999" x14ac:dyDescent="0.3">
      <c r="A12" s="8" t="s">
        <v>52</v>
      </c>
      <c r="B12" s="4" t="s">
        <v>53</v>
      </c>
      <c r="C12" s="4" t="s">
        <v>54</v>
      </c>
      <c r="D12" s="4" t="s">
        <v>17</v>
      </c>
      <c r="E12" s="4"/>
      <c r="F12" s="4">
        <v>65</v>
      </c>
      <c r="G12" s="4" t="s">
        <v>55</v>
      </c>
      <c r="H12" s="9">
        <f t="shared" si="0"/>
        <v>0</v>
      </c>
      <c r="O12" s="3" t="s">
        <v>2</v>
      </c>
    </row>
    <row r="13" spans="1:15" x14ac:dyDescent="0.3">
      <c r="A13" s="8" t="s">
        <v>56</v>
      </c>
      <c r="B13" s="4" t="s">
        <v>57</v>
      </c>
      <c r="C13" s="4" t="s">
        <v>58</v>
      </c>
      <c r="D13" s="4" t="s">
        <v>31</v>
      </c>
      <c r="E13" s="4">
        <v>51</v>
      </c>
      <c r="F13" s="4">
        <v>61</v>
      </c>
      <c r="G13" s="4" t="s">
        <v>59</v>
      </c>
      <c r="H13" s="9">
        <f t="shared" si="0"/>
        <v>51</v>
      </c>
    </row>
    <row r="14" spans="1:15" x14ac:dyDescent="0.3">
      <c r="A14" s="8" t="s">
        <v>60</v>
      </c>
      <c r="B14" s="4" t="s">
        <v>61</v>
      </c>
      <c r="C14" s="4" t="s">
        <v>62</v>
      </c>
      <c r="D14" s="4" t="s">
        <v>12</v>
      </c>
      <c r="E14" s="4">
        <v>73</v>
      </c>
      <c r="F14" s="4">
        <v>91</v>
      </c>
      <c r="G14" s="4" t="s">
        <v>27</v>
      </c>
      <c r="H14" s="9">
        <f t="shared" si="0"/>
        <v>73</v>
      </c>
    </row>
    <row r="15" spans="1:15" x14ac:dyDescent="0.3">
      <c r="A15" s="8" t="s">
        <v>63</v>
      </c>
      <c r="B15" s="4" t="s">
        <v>64</v>
      </c>
      <c r="C15" s="4" t="s">
        <v>65</v>
      </c>
      <c r="D15" s="4" t="s">
        <v>26</v>
      </c>
      <c r="E15" s="4">
        <v>60</v>
      </c>
      <c r="F15" s="4"/>
      <c r="G15" s="4" t="s">
        <v>66</v>
      </c>
      <c r="H15" s="9">
        <f t="shared" si="0"/>
        <v>60</v>
      </c>
    </row>
    <row r="16" spans="1:15" x14ac:dyDescent="0.3">
      <c r="A16" s="8" t="s">
        <v>67</v>
      </c>
      <c r="B16" s="4" t="s">
        <v>68</v>
      </c>
      <c r="C16" s="4" t="s">
        <v>69</v>
      </c>
      <c r="D16" s="4" t="s">
        <v>26</v>
      </c>
      <c r="E16" s="4">
        <v>41</v>
      </c>
      <c r="F16" s="4">
        <v>88</v>
      </c>
      <c r="G16" s="4" t="s">
        <v>70</v>
      </c>
      <c r="H16" s="9">
        <f t="shared" si="0"/>
        <v>41</v>
      </c>
    </row>
    <row r="17" spans="1:8" x14ac:dyDescent="0.3">
      <c r="A17" s="8" t="s">
        <v>71</v>
      </c>
      <c r="B17" s="4" t="s">
        <v>72</v>
      </c>
      <c r="C17" s="4" t="s">
        <v>73</v>
      </c>
      <c r="D17" s="4" t="s">
        <v>26</v>
      </c>
      <c r="E17" s="4">
        <v>35</v>
      </c>
      <c r="F17" s="4">
        <v>90</v>
      </c>
      <c r="G17" s="4" t="s">
        <v>13</v>
      </c>
      <c r="H17" s="9">
        <f t="shared" si="0"/>
        <v>35</v>
      </c>
    </row>
    <row r="18" spans="1:8" x14ac:dyDescent="0.3">
      <c r="A18" s="8" t="s">
        <v>74</v>
      </c>
      <c r="B18" s="4" t="s">
        <v>75</v>
      </c>
      <c r="C18" s="4" t="s">
        <v>76</v>
      </c>
      <c r="D18" s="4" t="s">
        <v>31</v>
      </c>
      <c r="E18" s="4">
        <v>55</v>
      </c>
      <c r="F18" s="4">
        <v>96</v>
      </c>
      <c r="G18" s="4" t="s">
        <v>55</v>
      </c>
      <c r="H18" s="9">
        <f t="shared" si="0"/>
        <v>55</v>
      </c>
    </row>
    <row r="19" spans="1:8" x14ac:dyDescent="0.3">
      <c r="A19" s="8" t="s">
        <v>77</v>
      </c>
      <c r="B19" s="4" t="s">
        <v>78</v>
      </c>
      <c r="C19" s="4" t="s">
        <v>11</v>
      </c>
      <c r="D19" s="4" t="s">
        <v>12</v>
      </c>
      <c r="E19" s="4">
        <v>74</v>
      </c>
      <c r="F19" s="4">
        <v>71</v>
      </c>
      <c r="G19" s="4" t="s">
        <v>51</v>
      </c>
      <c r="H19" s="9">
        <f t="shared" si="0"/>
        <v>74</v>
      </c>
    </row>
    <row r="20" spans="1:8" x14ac:dyDescent="0.3">
      <c r="A20" s="8" t="s">
        <v>79</v>
      </c>
      <c r="B20" s="4" t="s">
        <v>80</v>
      </c>
      <c r="C20" s="4" t="s">
        <v>30</v>
      </c>
      <c r="D20" s="4" t="s">
        <v>31</v>
      </c>
      <c r="E20" s="4"/>
      <c r="F20" s="4">
        <v>62</v>
      </c>
      <c r="G20" s="4" t="s">
        <v>22</v>
      </c>
      <c r="H20" s="9">
        <f t="shared" si="0"/>
        <v>0</v>
      </c>
    </row>
    <row r="21" spans="1:8" x14ac:dyDescent="0.3">
      <c r="A21" s="13" t="s">
        <v>81</v>
      </c>
      <c r="B21" s="14" t="s">
        <v>82</v>
      </c>
      <c r="C21" s="14" t="s">
        <v>83</v>
      </c>
      <c r="D21" s="14" t="s">
        <v>26</v>
      </c>
      <c r="E21" s="14">
        <v>53</v>
      </c>
      <c r="F21" s="14">
        <v>100</v>
      </c>
      <c r="G21" s="14" t="s">
        <v>27</v>
      </c>
      <c r="H21" s="15">
        <f t="shared" si="0"/>
        <v>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AKILA THARANI - DAY 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akila tharani</dc:creator>
  <cp:lastModifiedBy>akila tharani</cp:lastModifiedBy>
  <dcterms:created xsi:type="dcterms:W3CDTF">2025-10-29T19:35:09Z</dcterms:created>
  <dcterms:modified xsi:type="dcterms:W3CDTF">2025-11-14T13:00:08Z</dcterms:modified>
</cp:coreProperties>
</file>