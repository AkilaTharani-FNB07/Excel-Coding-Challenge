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16" documentId="13_ncr:1_{07BA3E42-DBF1-4B4F-A7B7-376D679CC825}" xr6:coauthVersionLast="47" xr6:coauthVersionMax="47" xr10:uidLastSave="{2A83E504-E338-4467-BA03-8F4CA0BF834C}"/>
  <bookViews>
    <workbookView xWindow="-108" yWindow="-108" windowWidth="23256" windowHeight="12456" xr2:uid="{61C2D2EF-2464-4449-9889-BDDA2A5EF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6" i="1"/>
  <c r="N7" i="1"/>
  <c r="N8" i="1"/>
  <c r="N9" i="1"/>
  <c r="N10" i="1"/>
  <c r="N11" i="1"/>
  <c r="N12" i="1"/>
  <c r="T7" i="1"/>
  <c r="T5" i="1"/>
  <c r="N4" i="1"/>
  <c r="N5" i="1"/>
  <c r="N3" i="1"/>
</calcChain>
</file>

<file path=xl/sharedStrings.xml><?xml version="1.0" encoding="utf-8"?>
<sst xmlns="http://schemas.openxmlformats.org/spreadsheetml/2006/main" count="101" uniqueCount="66">
  <si>
    <t>Day 4 – Basic Excel Formulas (Part 2)</t>
  </si>
  <si>
    <t>Use: IF(), SUMIF(), COUNTIF(), AVERAGEIF()</t>
  </si>
  <si>
    <r>
      <t>Task:</t>
    </r>
    <r>
      <rPr>
        <sz val="13.95"/>
        <color rgb="FF000000"/>
        <rFont val="Arial"/>
        <family val="2"/>
      </rPr>
      <t xml:space="preserve"> Write at least 3 conditions (for example, count sales above 10,000).</t>
    </r>
  </si>
  <si>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</si>
  <si>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</si>
  <si>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</si>
  <si>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</si>
  <si>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</si>
  <si>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</si>
  <si>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</si>
  <si>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</si>
  <si>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</si>
  <si>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</si>
  <si>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</si>
  <si>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</si>
  <si>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</si>
  <si>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</si>
  <si>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10/17/14 0:00</t>
  </si>
  <si>
    <t>10/18/14 0:00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</si>
  <si>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</si>
  <si>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</si>
  <si>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</si>
  <si>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</si>
  <si>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</si>
  <si>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</si>
  <si>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</si>
  <si>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</si>
  <si>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</si>
  <si>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</si>
  <si>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</si>
  <si>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</si>
  <si>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</si>
  <si>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</si>
  <si>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</si>
  <si>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</si>
  <si>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</si>
  <si>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</si>
  <si>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</si>
  <si>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</si>
  <si>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</si>
  <si>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</si>
  <si>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</si>
  <si>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</si>
  <si>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</si>
  <si>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High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</si>
  <si>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</si>
  <si>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</si>
  <si>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</si>
  <si>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</si>
  <si>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</si>
  <si>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</si>
  <si>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</si>
  <si>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</si>
  <si>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</si>
  <si>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</si>
  <si>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ES-2015-BP1118545-42216</t>
  </si>
  <si>
    <t>7/31/15 0:00</t>
  </si>
  <si>
    <t>Ben Peterman</t>
  </si>
  <si>
    <t>France</t>
  </si>
  <si>
    <t>Western Europe</t>
  </si>
  <si>
    <t>IF FUNCTION</t>
  </si>
  <si>
    <t>SUMIF FUNCTION</t>
  </si>
  <si>
    <t xml:space="preserve">AVERAGEIF  FUNCTION </t>
  </si>
  <si>
    <t>COUNTIF FUNCTION</t>
  </si>
  <si>
    <r>
      <t>*</t>
    </r>
    <r>
      <rPr>
        <sz val="11"/>
        <color theme="5" tint="-0.249977111117893"/>
        <rFont val="Aptos Narrow"/>
        <family val="2"/>
        <scheme val="minor"/>
      </rPr>
      <t xml:space="preserve"> From the given dataset which is about different country and region of sales and profit ,Used SUMIF , AVERAGEIF , COUNTIF , IF Function and given result </t>
    </r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</si>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</sst>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sz val="11"/>
      <color theme="8" tint="0.39997558519241921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22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4" fillId="2" borderId="10" xfId="0" applyFont="1" applyFill="1" applyBorder="1"/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0" fillId="3" borderId="12" xfId="0" applyFill="1" applyBorder="1"/>
    <xf numFmtId="0" fontId="0" fillId="3" borderId="11" xfId="0" applyFill="1" applyBorder="1"/>
    <xf numFmtId="0" fontId="4" fillId="2" borderId="12" xfId="0" applyFont="1" applyFill="1" applyBorder="1" applyAlignment="1">
      <alignment horizontal="center" vertical="center"/>
    </xf>
    <xf numFmtId="0" fontId="0" fillId="4" borderId="12" xfId="0" applyFill="1" applyBorder="1"/>
    <xf numFmtId="0" fontId="0" fillId="4" borderId="11" xfId="0" applyFill="1" applyBorder="1"/>
    <xf numFmtId="0" fontId="0" fillId="3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</cellXfs>
  <cellStyles count="1">
    <cellStyle name="Normal" xfId="0" builtinId="0"/>
  </cellStyles>
  <dxfs count="19"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 tint="0.3999755851924192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rgb="FFCCCCCC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56FDF-8E11-4FEB-B462-4BFDC51ED0AB}" name="Table1" displayName="Table1" ref="A2:O12" totalsRowShown="0" headerRowDxfId="1" dataDxfId="17" headerRowBorderDxfId="18" tableBorderDxfId="16" totalsRowBorderDxfId="15">
  <autoFilter ref="A2:O12" xr:uid="{BDF56FDF-8E11-4FEB-B462-4BFDC51ED0AB}"/>
  <tableColumns count="15">
    <tableColumn id="1" xr3:uid="{3A040222-514B-4E4F-BBB5-9F5775C59DF6}" name="Order ID" dataDxfId="14"/>
    <tableColumn id="2" xr3:uid="{C1ACE8C7-3B0C-4356-952E-E225CDE48142}" name="Order Date" dataDxfId="13"/>
    <tableColumn id="3" xr3:uid="{D6FE99C1-E951-4550-97AD-0C5BDF6A6137}" name="Ship Date"/>
    <tableColumn id="4" xr3:uid="{03C994A7-F175-4DFF-BDB6-8D1E2008E9ED}" name="Customer Name" dataDxfId="12"/>
    <tableColumn id="5" xr3:uid="{B8B4D2BA-0A4A-485C-9D62-2AB4F429A1AE}" name="Country" dataDxfId="11"/>
    <tableColumn id="6" xr3:uid="{52C1104A-6FB2-4224-B827-5B33D85902CD}" name="Region" dataDxfId="10"/>
    <tableColumn id="7" xr3:uid="{BEBE8416-78DF-42F7-A072-8C805C29C35A}" name="Category" dataDxfId="9"/>
    <tableColumn id="8" xr3:uid="{5ABA6F4F-7CA7-4712-A5F0-BB023340B9A1}" name="Sub-Category" dataDxfId="8"/>
    <tableColumn id="9" xr3:uid="{24385548-A96B-409C-931D-9959271E71F9}" name="Sales" dataDxfId="7"/>
    <tableColumn id="10" xr3:uid="{2237EE0C-0EC5-4527-9D95-8D22A9823B4C}" name="Quantity" dataDxfId="6"/>
    <tableColumn id="11" xr3:uid="{E9A33A9C-9A41-420A-926E-ACA1D170669F}" name="Discount" dataDxfId="5"/>
    <tableColumn id="12" xr3:uid="{BAB55C1A-EDFE-4A50-9F11-3AFE3AF4D83D}" name="Profit" dataDxfId="4"/>
    <tableColumn id="13" xr3:uid="{20C15A27-8C6B-4C94-9441-92FE99ADAAF4}" name="Order Priority" dataDxfId="3"/>
    <tableColumn id="14" xr3:uid="{63157EA2-8965-447D-B030-4766B9EC316B}" name="SUMIF FUNCTION" dataDxfId="2">
      <calculatedColumnFormula>SUMIF(G3:G12, "Technology",L3:L12)</calculatedColumnFormula>
    </tableColumn>
    <tableColumn id="15" xr3:uid="{C92A0A2E-30D2-4FF5-B275-BF2435ACF6E6}" name="IF FUNCTION" dataDxfId="0">
      <calculatedColumnFormula>IF(I2&gt;1000, "Profit","Loss")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11C9-4A3F-45E2-940B-D9E5A0098833}">
  <dimension ref="A1:V12"/>
  <sheetViews>
    <sheetView tabSelected="1" topLeftCell="C1" zoomScale="69" zoomScaleNormal="69" workbookViewId="0">
      <selection activeCell="G16" sqref="G16:G17"/>
    </sheetView>
  </sheetViews>
  <sheetFormatPr defaultRowHeight="14.4" x14ac:dyDescent="0.3"/>
  <cols>
    <col min="1" max="1" width="31.44140625" customWidth="1"/>
    <col min="2" max="2" width="20.21875" customWidth="1"/>
    <col min="3" max="3" width="18.88671875" customWidth="1"/>
    <col min="4" max="4" width="20.5546875" customWidth="1"/>
    <col min="5" max="5" width="14.5546875" customWidth="1"/>
    <col min="6" max="6" width="17.33203125" customWidth="1"/>
    <col min="7" max="7" width="17.21875" customWidth="1"/>
    <col min="8" max="8" width="19" customWidth="1"/>
    <col min="9" max="9" width="15.21875" customWidth="1"/>
    <col min="10" max="10" width="15.5546875" customWidth="1"/>
    <col min="11" max="11" width="13.109375" customWidth="1"/>
    <col min="12" max="12" width="11.33203125" customWidth="1"/>
    <col min="13" max="13" width="18" customWidth="1"/>
    <col min="14" max="14" width="19.5546875" customWidth="1"/>
    <col min="15" max="15" width="18.5546875" customWidth="1"/>
    <col min="16" max="16" width="9.21875" customWidth="1"/>
    <col min="17" max="17" width="19.109375" customWidth="1"/>
    <col min="18" max="18" width="12.21875" customWidth="1"/>
  </cols>
  <sheetData>
    <row r="1" spans="1:22" ht="1.2" customHeight="1" x14ac:dyDescent="0.3"/>
    <row r="2" spans="1:22" ht="36" customHeight="1" thickBot="1" x14ac:dyDescent="0.35">
      <c r="A2" s="15" t="s">
        <v>3</v>
      </c>
      <c r="B2" s="16" t="s">
        <v>4</v>
      </c>
      <c r="C2" s="16" t="s">
        <v>5</v>
      </c>
      <c r="D2" s="16" t="s">
        <v>6</v>
      </c>
      <c r="E2" s="16" t="s">
        <v>7</v>
      </c>
      <c r="F2" s="16" t="s">
        <v>8</v>
      </c>
      <c r="G2" s="16" t="s">
        <v>9</v>
      </c>
      <c r="H2" s="16" t="s">
        <v>10</v>
      </c>
      <c r="I2" s="16" t="s">
        <v>11</v>
      </c>
      <c r="J2" s="16" t="s">
        <v>12</v>
      </c>
      <c r="K2" s="16" t="s">
        <v>13</v>
      </c>
      <c r="L2" s="16" t="s">
        <v>14</v>
      </c>
      <c r="M2" s="17" t="s">
        <v>15</v>
      </c>
      <c r="N2" s="17" t="s">
        <v>61</v>
      </c>
      <c r="O2" s="16" t="s">
        <v>60</v>
      </c>
    </row>
    <row r="3" spans="1:22" ht="30.6" customHeight="1" thickBot="1" x14ac:dyDescent="0.35">
      <c r="A3" s="7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>
        <v>5175.1710000000003</v>
      </c>
      <c r="J3" s="3">
        <v>9</v>
      </c>
      <c r="K3" s="3">
        <v>0.1</v>
      </c>
      <c r="L3" s="3">
        <v>919.971</v>
      </c>
      <c r="M3" s="9" t="s">
        <v>24</v>
      </c>
      <c r="N3" s="14">
        <f t="shared" ref="N3:N12" si="0">SUMIF(G3:G12, "Technology",L3:L12)</f>
        <v>1898.2260000000001</v>
      </c>
      <c r="O3" s="19" t="str">
        <f t="shared" ref="O3:O12" si="1">IF(I2&gt;1000, "Profit","Loss")</f>
        <v>Profit</v>
      </c>
      <c r="R3" s="18"/>
    </row>
    <row r="4" spans="1:22" ht="29.4" customHeight="1" thickBot="1" x14ac:dyDescent="0.35">
      <c r="A4" s="7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65</v>
      </c>
      <c r="G4" s="3" t="s">
        <v>22</v>
      </c>
      <c r="H4" s="3" t="s">
        <v>30</v>
      </c>
      <c r="I4" s="3">
        <v>2892.51</v>
      </c>
      <c r="J4" s="3">
        <v>5</v>
      </c>
      <c r="K4" s="3">
        <v>0.1</v>
      </c>
      <c r="L4" s="3">
        <v>-96.54</v>
      </c>
      <c r="M4" s="9" t="s">
        <v>65</v>
      </c>
      <c r="N4" s="14">
        <f t="shared" si="0"/>
        <v>978.25499999999988</v>
      </c>
      <c r="O4" s="19" t="str">
        <f t="shared" si="1"/>
        <v>Profit</v>
      </c>
    </row>
    <row r="5" spans="1:22" ht="28.2" customHeight="1" thickBot="1" x14ac:dyDescent="0.35">
      <c r="A5" s="7" t="s">
        <v>65</v>
      </c>
      <c r="B5" s="4">
        <v>41770</v>
      </c>
      <c r="C5" s="4">
        <v>41801</v>
      </c>
      <c r="D5" s="2" t="s">
        <v>31</v>
      </c>
      <c r="E5" s="3" t="s">
        <v>65</v>
      </c>
      <c r="F5" s="3" t="s">
        <v>32</v>
      </c>
      <c r="G5" s="3" t="s">
        <v>22</v>
      </c>
      <c r="H5" s="3" t="s">
        <v>33</v>
      </c>
      <c r="I5" s="3">
        <v>2832.96</v>
      </c>
      <c r="J5" s="3">
        <v>8</v>
      </c>
      <c r="K5" s="3">
        <v>0</v>
      </c>
      <c r="L5" s="3">
        <v>311.52</v>
      </c>
      <c r="M5" s="9" t="s">
        <v>34</v>
      </c>
      <c r="N5" s="14">
        <f t="shared" si="0"/>
        <v>1074.7950000000001</v>
      </c>
      <c r="O5" s="19" t="str">
        <f t="shared" si="1"/>
        <v>Profit</v>
      </c>
      <c r="Q5" s="20"/>
      <c r="R5" s="21" t="s">
        <v>62</v>
      </c>
      <c r="S5" s="22"/>
      <c r="T5" s="28">
        <f>AVERAGEIF(F2:F12,"Oceania", I2:I12)</f>
        <v>3776.1914999999999</v>
      </c>
      <c r="U5" s="23"/>
      <c r="V5" s="24"/>
    </row>
    <row r="6" spans="1:22" ht="23.4" customHeight="1" thickBot="1" x14ac:dyDescent="0.35">
      <c r="A6" s="7" t="s">
        <v>35</v>
      </c>
      <c r="B6" s="3" t="s">
        <v>36</v>
      </c>
      <c r="C6" s="4">
        <v>41646</v>
      </c>
      <c r="D6" s="3" t="s">
        <v>37</v>
      </c>
      <c r="E6" s="3" t="s">
        <v>20</v>
      </c>
      <c r="F6" s="3" t="s">
        <v>21</v>
      </c>
      <c r="G6" s="3" t="s">
        <v>22</v>
      </c>
      <c r="H6" s="3" t="s">
        <v>33</v>
      </c>
      <c r="I6" s="3">
        <v>2862.6750000000002</v>
      </c>
      <c r="J6" s="3">
        <v>5</v>
      </c>
      <c r="K6" s="3">
        <v>0.1</v>
      </c>
      <c r="L6" s="3">
        <v>763.27499999999998</v>
      </c>
      <c r="M6" s="9" t="s">
        <v>34</v>
      </c>
      <c r="N6" s="14">
        <f t="shared" si="0"/>
        <v>763.27499999999998</v>
      </c>
      <c r="O6" s="19" t="str">
        <f t="shared" si="1"/>
        <v>Profit</v>
      </c>
    </row>
    <row r="7" spans="1:22" ht="34.799999999999997" customHeight="1" thickBot="1" x14ac:dyDescent="0.35">
      <c r="A7" s="7" t="s">
        <v>65</v>
      </c>
      <c r="B7" s="4">
        <v>41071</v>
      </c>
      <c r="C7" s="4">
        <v>41132</v>
      </c>
      <c r="D7" s="3" t="s">
        <v>38</v>
      </c>
      <c r="E7" s="3" t="s">
        <v>39</v>
      </c>
      <c r="F7" s="3" t="s">
        <v>21</v>
      </c>
      <c r="G7" s="3" t="s">
        <v>40</v>
      </c>
      <c r="H7" s="3" t="s">
        <v>41</v>
      </c>
      <c r="I7" s="3">
        <v>1822.08</v>
      </c>
      <c r="J7" s="3">
        <v>4</v>
      </c>
      <c r="K7" s="3">
        <v>0</v>
      </c>
      <c r="L7" s="3">
        <v>564.84</v>
      </c>
      <c r="M7" s="9" t="s">
        <v>34</v>
      </c>
      <c r="N7" s="14">
        <f t="shared" si="0"/>
        <v>0</v>
      </c>
      <c r="O7" s="19" t="str">
        <f t="shared" si="1"/>
        <v>Profit</v>
      </c>
      <c r="Q7" s="21"/>
      <c r="R7" s="25" t="s">
        <v>63</v>
      </c>
      <c r="S7" s="22"/>
      <c r="T7" s="29">
        <f>COUNTIF( M2:M12, "Critical" )</f>
        <v>4</v>
      </c>
      <c r="U7" s="26"/>
      <c r="V7" s="27"/>
    </row>
    <row r="8" spans="1:22" ht="25.2" customHeight="1" thickBot="1" x14ac:dyDescent="0.35">
      <c r="A8" s="8" t="s">
        <v>42</v>
      </c>
      <c r="B8" s="3" t="s">
        <v>65</v>
      </c>
      <c r="C8" s="3" t="s">
        <v>65</v>
      </c>
      <c r="D8" s="3" t="s">
        <v>43</v>
      </c>
      <c r="E8" s="3" t="s">
        <v>39</v>
      </c>
      <c r="F8" s="3" t="s">
        <v>21</v>
      </c>
      <c r="G8" s="3" t="s">
        <v>40</v>
      </c>
      <c r="H8" s="3" t="s">
        <v>33</v>
      </c>
      <c r="I8" s="3">
        <v>5244.84</v>
      </c>
      <c r="J8" s="3">
        <v>6</v>
      </c>
      <c r="K8" s="3">
        <v>0</v>
      </c>
      <c r="L8" s="3">
        <v>996.48</v>
      </c>
      <c r="M8" s="9" t="s">
        <v>44</v>
      </c>
      <c r="N8" s="14">
        <f t="shared" si="0"/>
        <v>0</v>
      </c>
      <c r="O8" s="19" t="str">
        <f t="shared" si="1"/>
        <v>Profit</v>
      </c>
    </row>
    <row r="9" spans="1:22" ht="27" customHeight="1" thickBot="1" x14ac:dyDescent="0.35">
      <c r="A9" s="7" t="s">
        <v>45</v>
      </c>
      <c r="B9" s="4">
        <v>41954</v>
      </c>
      <c r="C9" s="3" t="s">
        <v>46</v>
      </c>
      <c r="D9" s="3" t="s">
        <v>47</v>
      </c>
      <c r="E9" s="3" t="s">
        <v>48</v>
      </c>
      <c r="F9" s="3" t="s">
        <v>49</v>
      </c>
      <c r="G9" s="3" t="s">
        <v>40</v>
      </c>
      <c r="H9" s="3" t="s">
        <v>30</v>
      </c>
      <c r="I9" s="3">
        <v>341.96</v>
      </c>
      <c r="J9" s="3">
        <v>2</v>
      </c>
      <c r="K9" s="3">
        <v>0</v>
      </c>
      <c r="L9" s="3">
        <v>54.7136</v>
      </c>
      <c r="M9" s="9" t="s">
        <v>44</v>
      </c>
      <c r="N9" s="14">
        <f t="shared" si="0"/>
        <v>0</v>
      </c>
      <c r="O9" s="19" t="str">
        <f t="shared" si="1"/>
        <v>Profit</v>
      </c>
      <c r="S9" s="1" t="s">
        <v>0</v>
      </c>
    </row>
    <row r="10" spans="1:22" ht="25.8" customHeight="1" thickBot="1" x14ac:dyDescent="0.35">
      <c r="A10" s="7" t="s">
        <v>50</v>
      </c>
      <c r="B10" s="4">
        <v>41063</v>
      </c>
      <c r="C10" s="4">
        <v>41093</v>
      </c>
      <c r="D10" s="3" t="s">
        <v>47</v>
      </c>
      <c r="E10" s="3" t="s">
        <v>48</v>
      </c>
      <c r="F10" s="3" t="s">
        <v>51</v>
      </c>
      <c r="G10" s="3" t="s">
        <v>40</v>
      </c>
      <c r="H10" s="3" t="s">
        <v>52</v>
      </c>
      <c r="I10" s="3">
        <v>48.712000000000003</v>
      </c>
      <c r="J10" s="3">
        <v>1</v>
      </c>
      <c r="K10" s="3"/>
      <c r="L10" s="3">
        <v>5.4801000000000002</v>
      </c>
      <c r="M10" s="9" t="s">
        <v>44</v>
      </c>
      <c r="N10" s="14">
        <f t="shared" si="0"/>
        <v>0</v>
      </c>
      <c r="O10" s="19" t="str">
        <f t="shared" si="1"/>
        <v>Loss</v>
      </c>
      <c r="S10" s="5" t="s">
        <v>1</v>
      </c>
    </row>
    <row r="11" spans="1:22" ht="33" customHeight="1" thickBot="1" x14ac:dyDescent="0.35">
      <c r="A11" s="7" t="s">
        <v>50</v>
      </c>
      <c r="B11" s="4">
        <v>41063</v>
      </c>
      <c r="C11" s="4">
        <v>41093</v>
      </c>
      <c r="D11" s="2" t="s">
        <v>47</v>
      </c>
      <c r="E11" s="3" t="s">
        <v>65</v>
      </c>
      <c r="F11" s="3" t="s">
        <v>51</v>
      </c>
      <c r="G11" s="3" t="s">
        <v>53</v>
      </c>
      <c r="H11" s="3" t="s">
        <v>54</v>
      </c>
      <c r="I11" s="3">
        <v>17.940000000000001</v>
      </c>
      <c r="J11" s="3">
        <v>3</v>
      </c>
      <c r="K11" s="3">
        <v>0</v>
      </c>
      <c r="L11" s="3">
        <v>26.647123529999998</v>
      </c>
      <c r="M11" s="9" t="s">
        <v>44</v>
      </c>
      <c r="N11" s="14">
        <f t="shared" si="0"/>
        <v>0</v>
      </c>
      <c r="O11" s="19" t="str">
        <f t="shared" si="1"/>
        <v>Loss</v>
      </c>
      <c r="S11" s="6" t="s">
        <v>2</v>
      </c>
    </row>
    <row r="12" spans="1:22" ht="36" customHeight="1" thickBot="1" x14ac:dyDescent="0.35">
      <c r="A12" s="10" t="s">
        <v>55</v>
      </c>
      <c r="B12" s="11" t="s">
        <v>56</v>
      </c>
      <c r="C12" s="12">
        <v>42071</v>
      </c>
      <c r="D12" s="11" t="s">
        <v>57</v>
      </c>
      <c r="E12" s="11" t="s">
        <v>58</v>
      </c>
      <c r="F12" s="11" t="s">
        <v>59</v>
      </c>
      <c r="G12" s="11" t="s">
        <v>53</v>
      </c>
      <c r="H12" s="11" t="s">
        <v>30</v>
      </c>
      <c r="I12" s="11">
        <v>1869.588</v>
      </c>
      <c r="J12" s="11">
        <v>4</v>
      </c>
      <c r="K12" s="11">
        <v>0.1</v>
      </c>
      <c r="L12" s="11" t="s">
        <v>65</v>
      </c>
      <c r="M12" s="13" t="s">
        <v>34</v>
      </c>
      <c r="N12" s="14">
        <f t="shared" si="0"/>
        <v>0</v>
      </c>
      <c r="O12" s="19" t="str">
        <f t="shared" si="1"/>
        <v>Loss</v>
      </c>
      <c r="S12" t="s">
        <v>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2025-10-15T15:09:39Z</dcterms:created>
  <dcterms:modified xsi:type="dcterms:W3CDTF">2025-11-14T07:14:29Z</dcterms:modified>
</cp:coreProperties>
</file>