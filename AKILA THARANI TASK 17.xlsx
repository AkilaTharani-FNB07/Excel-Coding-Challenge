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259" documentId="8_{DE13E983-CF00-440F-BB0B-5F1E4243FAE9}" xr6:coauthVersionLast="47" xr6:coauthVersionMax="47" xr10:uidLastSave="{4EEE9F09-CAA6-49A9-9FA2-6B3651B49479}"/>
  <bookViews>
    <workbookView xWindow="-108" yWindow="-108" windowWidth="23256" windowHeight="12456" xr2:uid="{64B08CC4-1942-435F-8939-1B40265BD86B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<sst xmlns="http://schemas.openxmlformats.org/spreadsheetml/2006/main" count="91" uniqueCount="60">
  <si>
    <t>Day 17 – Charts &amp; Graphs (Part 1)</t>
  </si>
  <si>
    <t>Practice: Bar, Column, Pie, Line charts.</t>
  </si>
  <si>
    <r>
      <t>Task:</t>
    </r>
    <r>
      <rPr>
        <sz val="13.95"/>
        <color rgb="FF000000"/>
        <rFont val="Arial"/>
        <family val="2"/>
      </rPr>
      <t xml:space="preserve"> Visualize key KPIs (such as total sales or average score).</t>
    </r>
  </si>
  <si>
    <t xml:space="preserve"> </t>
  </si>
  <si>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</si>
  <si>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</si>
  <si>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</si>
  <si>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</si>
  <si>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</si>
  <si>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</si>
  <si>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</si>
  <si>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</si>
  <si>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</si>
  <si>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</si>
  <si>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</si>
  <si>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</si>
  <si>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</si>
  <si>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</si>
  <si>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</si>
  <si>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</si>
  <si>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</si>
  <si>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</si>
  <si>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</si>
  <si>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</si>
  <si>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</si>
  <si>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</si>
  <si>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</si>
  <si>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</si>
  <si>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</si>
  <si>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</si>
  <si>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</si>
  <si>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</si>
  <si>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</si>
  <si>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</si>
  <si>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</si>
  <si>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</si>
  <si>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</si>
  <si>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</si>
  <si>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</si>
  <si>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</si>
  <si>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</si>
  <si>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</si>
  <si>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</si>
  <si>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</si>
  <si>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</si>
  <si>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</si>
  <si>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</si>
  <si>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</si>
  <si>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</si>
  <si>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</si>
  <si>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</si>
  <si>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</si>
  <si>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</si>
  <si>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</si>
  <si>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</si>
  <si>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Row Labels</t>
  </si>
  <si>
    <t>(blank)</t>
  </si>
  <si>
    <t>Grand Total</t>
  </si>
  <si>
    <t>Average of Sales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</si>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</sst>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22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[AKILA THARANI TASK 17.xlsx]Sheet1!PivotTable2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Sales Regionwise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7040213848468988"/>
          <c:y val="3.5360438259066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81-406F-A9AA-E295BEA3DC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81-406F-A9AA-E295BEA3DC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81-406F-A9AA-E295BEA3DC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81-406F-A9AA-E295BEA3DC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81-406F-A9AA-E295BEA3DC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Sheet1!$A$13:$A$18</c:f>
              <c:strCache>
                <c:ptCount val="5"/>
                <c:pt idx="0">
                  <c:v>Central US</c:v>
                </c:pt>
                <c:pt idx="1">
                  <c:v>Oceania</c:v>
                </c:pt>
                <c:pt idx="2">
                  <c:v>Western Africa</c:v>
                </c:pt>
                <c:pt idx="3">
                  <c:v>Western US</c:v>
                </c:pt>
                <c:pt idx="4">
                  <c:v>(blank)</c:v>
                </c:pt>
              </c:strCache>
            </c:strRef>
          </c:cat>
          <c:val>
            <c:numRef>
              <c:f>Sheet1!$B$13:$B$18</c:f>
              <c:numCache>
                <c:formatCode>General</c:formatCode>
                <c:ptCount val="5"/>
                <c:pt idx="0">
                  <c:v>341.96</c:v>
                </c:pt>
                <c:pt idx="1">
                  <c:v>3776.1914999999999</c:v>
                </c:pt>
                <c:pt idx="2">
                  <c:v>2832.96</c:v>
                </c:pt>
                <c:pt idx="3">
                  <c:v>48.712000000000003</c:v>
                </c:pt>
                <c:pt idx="4">
                  <c:v>2892.51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8-4061-9AB3-D6FE700CB3A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[AKILA THARANI TASK 17.xlsx]Sheet1!PivotTable3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Profit Based on Sub-Category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Sheet1!$D$13:$D$18</c:f>
              <c:strCache>
                <c:ptCount val="5"/>
                <c:pt idx="0">
                  <c:v>Accessories</c:v>
                </c:pt>
                <c:pt idx="1">
                  <c:v>Chairs</c:v>
                </c:pt>
                <c:pt idx="2">
                  <c:v>Copiers</c:v>
                </c:pt>
                <c:pt idx="3">
                  <c:v>Phones</c:v>
                </c:pt>
                <c:pt idx="4">
                  <c:v>Tables</c:v>
                </c:pt>
              </c:strCache>
            </c:strRef>
          </c:cat>
          <c:val>
            <c:numRef>
              <c:f>Sheet1!$E$13:$E$18</c:f>
              <c:numCache>
                <c:formatCode>General</c:formatCode>
                <c:ptCount val="5"/>
                <c:pt idx="0">
                  <c:v>919.971</c:v>
                </c:pt>
                <c:pt idx="1">
                  <c:v>-20.913200000000003</c:v>
                </c:pt>
                <c:pt idx="2">
                  <c:v>564.84</c:v>
                </c:pt>
                <c:pt idx="3">
                  <c:v>690.42500000000007</c:v>
                </c:pt>
                <c:pt idx="4">
                  <c:v>5.4801000000000002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7-4FD2-8EE2-77A3A0ACA6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9372287"/>
        <c:axId val="199387167"/>
      </c:barChart>
      <c:catAx>
        <c:axId val="19937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87167"/>
        <c:crosses val="autoZero"/>
        <c:auto val="1"/>
        <c:lblAlgn val="ctr"/>
        <c:lblOffset val="100"/>
        <c:noMultiLvlLbl val="0"/>
      </c:catAx>
      <c:valAx>
        <c:axId val="1993871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937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441739</xdr:colOff>
      <xdr:row>11</xdr:row>
      <xdr:rowOff>33130</xdr:rowOff>
    </xdr:from>
    <xdr:to>
      <xdr:col>10</xdr:col>
      <xdr:colOff>541130</xdr:colOff>
      <xdr:row>28</xdr:row>
      <xdr:rowOff>165652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FE5397-828E-19F3-D522-E69BAB037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110434</xdr:colOff>
      <xdr:row>12</xdr:row>
      <xdr:rowOff>36444</xdr:rowOff>
    </xdr:from>
    <xdr:to>
      <xdr:col>18</xdr:col>
      <xdr:colOff>276087</xdr:colOff>
      <xdr:row>26</xdr:row>
      <xdr:rowOff>151296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153814-11C2-E5F9-28EE-8534A998B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ILA" refreshedDate="45963.708292939817" createdVersion="8" refreshedVersion="8" minRefreshableVersion="3" recordCount="8" xr:uid="{C677C020-AD33-427F-AA25-E135113FD070}">
  <cacheSource type="worksheet">
    <worksheetSource ref="A1:M9" sheet="Sheet1"/>
  </cacheSource>
  <cacheFields count="13">
    <cacheField name="Order ID" numFmtId="0">
      <sharedItems containsBlank="1"/>
    </cacheField>
    <cacheField name="Order Date" numFmtId="0">
      <sharedItems containsDate="1" containsBlank="1" containsMixedTypes="1" minDate="2012-06-03T00:00:00" maxDate="2014-11-12T00:00:00"/>
    </cacheField>
    <cacheField name="Ship Date" numFmtId="0">
      <sharedItems containsDate="1" containsBlank="1" containsMixedTypes="1" minDate="2012-07-03T00:00:00" maxDate="2014-06-12T00:00:00"/>
    </cacheField>
    <cacheField name="Customer Name" numFmtId="0">
      <sharedItems count="7">
        <s v="Craig Reiter"/>
        <s v="Katherine Murray"/>
        <s v="Rick Hansen"/>
        <s v="Jim Mitchum"/>
        <s v="Toby Swindell"/>
        <s v="Mick Brown"/>
        <s v="Aaron Bergman"/>
      </sharedItems>
    </cacheField>
    <cacheField name="Country" numFmtId="0">
      <sharedItems containsBlank="1" count="5">
        <s v="Australia"/>
        <s v="Germany"/>
        <m/>
        <s v="New Zealand"/>
        <s v="United States"/>
      </sharedItems>
    </cacheField>
    <cacheField name="Region" numFmtId="0">
      <sharedItems containsBlank="1" count="5">
        <s v="Oceania"/>
        <m/>
        <s v="Western Africa"/>
        <s v="Central US"/>
        <s v="Western US"/>
      </sharedItems>
    </cacheField>
    <cacheField name="Category" numFmtId="0">
      <sharedItems count="2">
        <s v="Technology"/>
        <s v="Furniture"/>
      </sharedItems>
    </cacheField>
    <cacheField name="Sub-Category" numFmtId="0">
      <sharedItems count="5">
        <s v="Accessories"/>
        <s v="Chairs"/>
        <s v="Phones"/>
        <s v="Copiers"/>
        <s v="Tables"/>
      </sharedItems>
    </cacheField>
    <cacheField name="Sales" numFmtId="0">
      <sharedItems containsSemiMixedTypes="0" containsString="0" containsNumber="1" minValue="48.712000000000003" maxValue="5244.84"/>
    </cacheField>
    <cacheField name="Quantity" numFmtId="0">
      <sharedItems containsMixedTypes="1" containsNumber="1" containsInteger="1" minValue="1" maxValue="9"/>
    </cacheField>
    <cacheField name="Discount" numFmtId="0">
      <sharedItems containsString="0" containsBlank="1" containsNumber="1" minValue="0" maxValue="0.1"/>
    </cacheField>
    <cacheField name="Profit" numFmtId="0">
      <sharedItems containsSemiMixedTypes="0" containsString="0" containsNumber="1" minValue="-96.54" maxValue="996.48"/>
    </cacheField>
    <cacheField name="Order Prior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IN-2014-CR127307-41929"/>
    <s v="10/17/14 0:00"/>
    <s v="10/18/14 0:00"/>
    <x v="0"/>
    <x v="0"/>
    <x v="0"/>
    <x v="0"/>
    <x v="0"/>
    <n v="5175.1710000000003"/>
    <n v="9"/>
    <n v="0.1"/>
    <n v="919.971"/>
    <s v="Medium"/>
  </r>
  <r>
    <s v="ES-2014-KM1637548-41667"/>
    <s v="1/28/14 0:00"/>
    <s v="1/30/14 0:00"/>
    <x v="1"/>
    <x v="1"/>
    <x v="1"/>
    <x v="0"/>
    <x v="1"/>
    <n v="2892.51"/>
    <n v="5"/>
    <n v="0.1"/>
    <n v="-96.54"/>
    <m/>
  </r>
  <r>
    <m/>
    <d v="2014-05-11T00:00:00"/>
    <d v="2014-06-11T00:00:00"/>
    <x v="2"/>
    <x v="2"/>
    <x v="2"/>
    <x v="0"/>
    <x v="2"/>
    <n v="2832.96"/>
    <n v="8"/>
    <n v="0"/>
    <n v="311.52"/>
    <s v="Critical"/>
  </r>
  <r>
    <s v="IN-2014-JM156557-41818"/>
    <s v="6/28/14 0:00"/>
    <d v="2014-01-07T00:00:00"/>
    <x v="3"/>
    <x v="0"/>
    <x v="0"/>
    <x v="0"/>
    <x v="2"/>
    <n v="2862.6750000000002"/>
    <n v="5"/>
    <n v="0.1"/>
    <n v="763.27499999999998"/>
    <s v="Critical"/>
  </r>
  <r>
    <m/>
    <d v="2012-06-11T00:00:00"/>
    <d v="2012-08-11T00:00:00"/>
    <x v="4"/>
    <x v="3"/>
    <x v="0"/>
    <x v="1"/>
    <x v="3"/>
    <n v="1822.08"/>
    <n v="4"/>
    <n v="0"/>
    <n v="564.84"/>
    <s v="Critical"/>
  </r>
  <r>
    <s v="IN-2013-MB1808592-41378"/>
    <m/>
    <m/>
    <x v="5"/>
    <x v="3"/>
    <x v="0"/>
    <x v="1"/>
    <x v="2"/>
    <n v="5244.84"/>
    <s v="6.0#"/>
    <n v="0"/>
    <n v="996.48"/>
    <s v="High"/>
  </r>
  <r>
    <s v="CA-2014-AB10015140-41954"/>
    <d v="2014-11-11T00:00:00"/>
    <s v="11/13/14 0:00"/>
    <x v="6"/>
    <x v="4"/>
    <x v="3"/>
    <x v="1"/>
    <x v="1"/>
    <n v="341.96"/>
    <n v="2"/>
    <n v="0"/>
    <n v="54.7136"/>
    <s v="High"/>
  </r>
  <r>
    <s v="CA-2012-AB10015140-40974"/>
    <d v="2012-06-03T00:00:00"/>
    <d v="2012-07-03T00:00:00"/>
    <x v="6"/>
    <x v="4"/>
    <x v="4"/>
    <x v="1"/>
    <x v="4"/>
    <n v="48.712000000000003"/>
    <n v="1"/>
    <m/>
    <n v="5.4801000000000002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EDD06-B97D-4335-9B16-A1CCF19C2D1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2:E18" firstHeaderRow="1" firstDataRow="1" firstDataCol="1"/>
  <pivotFields count="13">
    <pivotField showAll="0"/>
    <pivotField showAll="0"/>
    <pivotField showAll="0"/>
    <pivotField showAll="0">
      <items count="8">
        <item x="6"/>
        <item x="0"/>
        <item x="3"/>
        <item x="1"/>
        <item x="5"/>
        <item x="2"/>
        <item x="4"/>
        <item t="default"/>
      </items>
    </pivotField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" fld="11" subtotal="average" baseField="7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FAB57-5763-4E98-92A0-82026A31F30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18" firstHeaderRow="1" firstDataRow="1" firstDataCol="1"/>
  <pivotFields count="13">
    <pivotField showAll="0"/>
    <pivotField showAll="0"/>
    <pivotField showAll="0"/>
    <pivotField showAll="0"/>
    <pivotField showAll="0">
      <items count="6">
        <item x="0"/>
        <item x="1"/>
        <item x="3"/>
        <item x="4"/>
        <item x="2"/>
        <item t="default"/>
      </items>
    </pivotField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es" fld="8" subtotal="average" baseField="4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19E8-BF15-46F3-A2A6-13A597F73733}">
  <dimension ref="A1:Q18"/>
  <sheetViews>
    <sheetView tabSelected="1" zoomScale="69" zoomScaleNormal="69" workbookViewId="0">
      <selection activeCell="R7" sqref="R7"/>
    </sheetView>
  </sheetViews>
  <sheetFormatPr defaultRowHeight="14.4" x14ac:dyDescent="0.3"/>
  <cols>
    <col min="1" max="1" width="14.109375" bestFit="1" customWidth="1"/>
    <col min="2" max="2" width="17.5546875" customWidth="1"/>
    <col min="3" max="3" width="17.109375" customWidth="1"/>
    <col min="4" max="4" width="14.109375" bestFit="1" customWidth="1"/>
    <col min="5" max="5" width="15.21875" bestFit="1" customWidth="1"/>
    <col min="6" max="6" width="12" bestFit="1" customWidth="1"/>
    <col min="7" max="7" width="15.33203125" customWidth="1"/>
    <col min="8" max="8" width="13.5546875" customWidth="1"/>
    <col min="9" max="9" width="10.109375" customWidth="1"/>
    <col min="13" max="13" width="11.109375" customWidth="1"/>
  </cols>
  <sheetData>
    <row r="1" spans="1:17" ht="28.8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</row>
    <row r="2" spans="1:17" ht="43.2" x14ac:dyDescent="0.3">
      <c r="A2" s="5" t="s">
        <v>17</v>
      </c>
      <c r="B2" s="6" t="s">
        <v>18</v>
      </c>
      <c r="C2" s="6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6">
        <v>5175.1710000000003</v>
      </c>
      <c r="J2" s="6">
        <v>9</v>
      </c>
      <c r="K2" s="6">
        <v>0.1</v>
      </c>
      <c r="L2" s="6">
        <v>919.971</v>
      </c>
      <c r="M2" s="5" t="s">
        <v>25</v>
      </c>
      <c r="O2" s="1" t="s">
        <v>0</v>
      </c>
    </row>
    <row r="3" spans="1:17" ht="17.399999999999999" x14ac:dyDescent="0.3">
      <c r="A3" s="5" t="s">
        <v>26</v>
      </c>
      <c r="B3" s="6" t="s">
        <v>27</v>
      </c>
      <c r="C3" s="6" t="s">
        <v>28</v>
      </c>
      <c r="D3" s="5" t="s">
        <v>29</v>
      </c>
      <c r="E3" s="5" t="s">
        <v>30</v>
      </c>
      <c r="F3" s="5"/>
      <c r="G3" s="5" t="s">
        <v>23</v>
      </c>
      <c r="H3" s="5" t="s">
        <v>31</v>
      </c>
      <c r="I3" s="6">
        <v>2892.51</v>
      </c>
      <c r="J3" s="6">
        <v>5</v>
      </c>
      <c r="K3" s="6">
        <v>0.1</v>
      </c>
      <c r="L3" s="6">
        <v>-96.54</v>
      </c>
      <c r="M3" s="5"/>
      <c r="O3" s="2" t="s">
        <v>1</v>
      </c>
    </row>
    <row r="4" spans="1:17" ht="28.8" x14ac:dyDescent="0.3">
      <c r="A4" s="5"/>
      <c r="B4" s="7">
        <v>41770</v>
      </c>
      <c r="C4" s="7">
        <v>41801</v>
      </c>
      <c r="D4" s="8" t="s">
        <v>32</v>
      </c>
      <c r="E4" s="5"/>
      <c r="F4" s="5" t="s">
        <v>33</v>
      </c>
      <c r="G4" s="5" t="s">
        <v>23</v>
      </c>
      <c r="H4" s="5" t="s">
        <v>34</v>
      </c>
      <c r="I4" s="6">
        <v>2832.96</v>
      </c>
      <c r="J4" s="6">
        <v>8</v>
      </c>
      <c r="K4" s="6">
        <v>0</v>
      </c>
      <c r="L4" s="6">
        <v>311.52</v>
      </c>
      <c r="M4" s="5" t="s">
        <v>35</v>
      </c>
      <c r="O4" s="3" t="s">
        <v>2</v>
      </c>
    </row>
    <row r="5" spans="1:17" x14ac:dyDescent="0.3">
      <c r="A5" s="5" t="s">
        <v>36</v>
      </c>
      <c r="B5" s="6" t="s">
        <v>37</v>
      </c>
      <c r="C5" s="7">
        <v>41646</v>
      </c>
      <c r="D5" s="5" t="s">
        <v>38</v>
      </c>
      <c r="E5" s="5" t="s">
        <v>21</v>
      </c>
      <c r="F5" s="5" t="s">
        <v>22</v>
      </c>
      <c r="G5" s="5" t="s">
        <v>23</v>
      </c>
      <c r="H5" s="5" t="s">
        <v>34</v>
      </c>
      <c r="I5" s="6">
        <v>2862.6750000000002</v>
      </c>
      <c r="J5" s="6">
        <v>5</v>
      </c>
      <c r="K5" s="6">
        <v>0.1</v>
      </c>
      <c r="L5" s="6">
        <v>763.27499999999998</v>
      </c>
      <c r="M5" s="5" t="s">
        <v>35</v>
      </c>
    </row>
    <row r="6" spans="1:17" ht="28.8" x14ac:dyDescent="0.3">
      <c r="A6" s="5"/>
      <c r="B6" s="7">
        <v>41071</v>
      </c>
      <c r="C6" s="7">
        <v>41132</v>
      </c>
      <c r="D6" s="5" t="s">
        <v>39</v>
      </c>
      <c r="E6" s="5" t="s">
        <v>40</v>
      </c>
      <c r="F6" s="5" t="s">
        <v>22</v>
      </c>
      <c r="G6" s="5" t="s">
        <v>41</v>
      </c>
      <c r="H6" s="5" t="s">
        <v>42</v>
      </c>
      <c r="I6" s="6">
        <v>1822.08</v>
      </c>
      <c r="J6" s="6">
        <v>4</v>
      </c>
      <c r="K6" s="6">
        <v>0</v>
      </c>
      <c r="L6" s="6">
        <v>564.84</v>
      </c>
      <c r="M6" s="5" t="s">
        <v>35</v>
      </c>
    </row>
    <row r="7" spans="1:17" ht="28.8" x14ac:dyDescent="0.3">
      <c r="A7" s="8" t="s">
        <v>43</v>
      </c>
      <c r="B7" s="5"/>
      <c r="C7" s="5"/>
      <c r="D7" s="5" t="s">
        <v>44</v>
      </c>
      <c r="E7" s="5" t="s">
        <v>40</v>
      </c>
      <c r="F7" s="5" t="s">
        <v>22</v>
      </c>
      <c r="G7" s="5" t="s">
        <v>41</v>
      </c>
      <c r="H7" s="5" t="s">
        <v>34</v>
      </c>
      <c r="I7" s="6">
        <v>5244.84</v>
      </c>
      <c r="J7" s="5" t="s">
        <v>45</v>
      </c>
      <c r="K7" s="6">
        <v>0</v>
      </c>
      <c r="L7" s="6">
        <v>996.48</v>
      </c>
      <c r="M7" s="5" t="s">
        <v>46</v>
      </c>
    </row>
    <row r="8" spans="1:17" ht="28.8" x14ac:dyDescent="0.3">
      <c r="A8" s="5" t="s">
        <v>47</v>
      </c>
      <c r="B8" s="7">
        <v>41954</v>
      </c>
      <c r="C8" s="6" t="s">
        <v>48</v>
      </c>
      <c r="D8" s="5" t="s">
        <v>49</v>
      </c>
      <c r="E8" s="5" t="s">
        <v>50</v>
      </c>
      <c r="F8" s="5" t="s">
        <v>51</v>
      </c>
      <c r="G8" s="5" t="s">
        <v>41</v>
      </c>
      <c r="H8" s="5" t="s">
        <v>31</v>
      </c>
      <c r="I8" s="6">
        <v>341.96</v>
      </c>
      <c r="J8" s="6">
        <v>2</v>
      </c>
      <c r="K8" s="6">
        <v>0</v>
      </c>
      <c r="L8" s="6">
        <v>54.7136</v>
      </c>
      <c r="M8" s="5" t="s">
        <v>46</v>
      </c>
      <c r="Q8" t="s">
        <v>3</v>
      </c>
    </row>
    <row r="9" spans="1:17" ht="28.8" x14ac:dyDescent="0.3">
      <c r="A9" s="5" t="s">
        <v>52</v>
      </c>
      <c r="B9" s="7">
        <v>41063</v>
      </c>
      <c r="C9" s="7">
        <v>41093</v>
      </c>
      <c r="D9" s="5" t="s">
        <v>49</v>
      </c>
      <c r="E9" s="5" t="s">
        <v>50</v>
      </c>
      <c r="F9" s="5" t="s">
        <v>53</v>
      </c>
      <c r="G9" s="5" t="s">
        <v>41</v>
      </c>
      <c r="H9" s="5" t="s">
        <v>54</v>
      </c>
      <c r="I9" s="6">
        <v>48.712000000000003</v>
      </c>
      <c r="J9" s="6">
        <v>1</v>
      </c>
      <c r="K9" s="5"/>
      <c r="L9" s="6">
        <v>5.4801000000000002</v>
      </c>
      <c r="M9" s="5" t="s">
        <v>46</v>
      </c>
    </row>
    <row r="11" spans="1:17" ht="17.399999999999999" x14ac:dyDescent="0.3">
      <c r="B11" s="1"/>
    </row>
    <row r="12" spans="1:17" x14ac:dyDescent="0.3">
      <c r="A12" s="9" t="s">
        <v>55</v>
      </c>
      <c r="B12" t="s">
        <v>58</v>
      </c>
      <c r="D12" s="9" t="s">
        <v>55</v>
      </c>
      <c r="E12" t="s">
        <v>59</v>
      </c>
    </row>
    <row r="13" spans="1:17" x14ac:dyDescent="0.3">
      <c r="A13" s="10" t="s">
        <v>51</v>
      </c>
      <c r="B13">
        <v>341.96</v>
      </c>
      <c r="D13" s="10" t="s">
        <v>24</v>
      </c>
      <c r="E13" s="11">
        <v>919.971</v>
      </c>
    </row>
    <row r="14" spans="1:17" x14ac:dyDescent="0.3">
      <c r="A14" s="10" t="s">
        <v>22</v>
      </c>
      <c r="B14">
        <v>3776.1914999999999</v>
      </c>
      <c r="D14" s="10" t="s">
        <v>31</v>
      </c>
      <c r="E14" s="11">
        <v>-20.913200000000003</v>
      </c>
    </row>
    <row r="15" spans="1:17" x14ac:dyDescent="0.3">
      <c r="A15" s="10" t="s">
        <v>33</v>
      </c>
      <c r="B15">
        <v>2832.96</v>
      </c>
      <c r="D15" s="10" t="s">
        <v>42</v>
      </c>
      <c r="E15" s="11">
        <v>564.84</v>
      </c>
    </row>
    <row r="16" spans="1:17" x14ac:dyDescent="0.3">
      <c r="A16" s="10" t="s">
        <v>53</v>
      </c>
      <c r="B16">
        <v>48.712000000000003</v>
      </c>
      <c r="D16" s="10" t="s">
        <v>34</v>
      </c>
      <c r="E16" s="11">
        <v>690.42500000000007</v>
      </c>
    </row>
    <row r="17" spans="1:5" x14ac:dyDescent="0.3">
      <c r="A17" s="10" t="s">
        <v>56</v>
      </c>
      <c r="B17">
        <v>2892.51</v>
      </c>
      <c r="D17" s="10" t="s">
        <v>54</v>
      </c>
      <c r="E17" s="11">
        <v>5.4801000000000002</v>
      </c>
    </row>
    <row r="18" spans="1:5" x14ac:dyDescent="0.3">
      <c r="A18" s="10" t="s">
        <v>57</v>
      </c>
      <c r="B18">
        <v>2652.6135000000004</v>
      </c>
      <c r="D18" s="10" t="s">
        <v>57</v>
      </c>
      <c r="E18" s="11">
        <v>439.96746250000007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2025-11-01T20:28:40Z</dcterms:created>
  <dcterms:modified xsi:type="dcterms:W3CDTF">2025-11-14T13:25:41Z</dcterms:modified>
</cp:coreProperties>
</file>