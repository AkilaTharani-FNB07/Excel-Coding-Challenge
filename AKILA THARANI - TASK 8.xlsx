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112" documentId="8_{8530EA2C-1939-409C-AD21-42AF74906F85}" xr6:coauthVersionLast="47" xr6:coauthVersionMax="47" xr10:uidLastSave="{2300DD8F-252F-4E12-B5DF-4BB3CAD1D1E8}"/>
  <bookViews>
    <workbookView xWindow="-108" yWindow="-108" windowWidth="23256" windowHeight="12456" activeTab="1" xr2:uid="{83FA2851-BF9A-4E6C-9F16-B2CF9F7EF1FB}"/>
  </bookViews>
  <sheets>
    <sheet name="Table1" sheetId="2" r:id="rId1"/>
    <sheet name="AKILA THARANI - DAY 8.xlsx" sheetId="1" r:id="rId2"/>
  </sheets>
  <definedNames>
    <definedName name="ExternalData_1" localSheetId="0" hidden="1">Table1!$A$1:$L$59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2" i="2"/>
  <c r="K3" i="2"/>
  <c r="K4" i="2"/>
  <c r="K5" i="2"/>
  <c r="K6" i="2"/>
  <c r="K7" i="2"/>
  <c r="K8" i="2"/>
  <c r="K8" i="1" s="1"/>
  <c r="K9" i="2"/>
  <c r="K9" i="1" s="1"/>
  <c r="K10" i="2"/>
  <c r="K10" i="1" s="1"/>
  <c r="K11" i="2"/>
  <c r="K11" i="1" s="1"/>
  <c r="K12" i="2"/>
  <c r="K12" i="1" s="1"/>
  <c r="K13" i="2"/>
  <c r="K13" i="1" s="1"/>
  <c r="K14" i="2"/>
  <c r="K14" i="1" s="1"/>
  <c r="K15" i="2"/>
  <c r="K16" i="2"/>
  <c r="K17" i="2"/>
  <c r="K18" i="2"/>
  <c r="K19" i="2"/>
  <c r="K20" i="2"/>
  <c r="K20" i="1" s="1"/>
  <c r="K21" i="2"/>
  <c r="K21" i="1" s="1"/>
  <c r="K22" i="2"/>
  <c r="K22" i="1" s="1"/>
  <c r="K23" i="2"/>
  <c r="K23" i="1" s="1"/>
  <c r="K24" i="2"/>
  <c r="K24" i="1" s="1"/>
  <c r="K25" i="2"/>
  <c r="K25" i="1" s="1"/>
  <c r="K26" i="2"/>
  <c r="K26" i="1" s="1"/>
  <c r="K27" i="2"/>
  <c r="K28" i="2"/>
  <c r="K29" i="2"/>
  <c r="K30" i="2"/>
  <c r="K31" i="2"/>
  <c r="K32" i="2"/>
  <c r="K32" i="1" s="1"/>
  <c r="K33" i="2"/>
  <c r="K33" i="1" s="1"/>
  <c r="K34" i="2"/>
  <c r="K34" i="1" s="1"/>
  <c r="K35" i="2"/>
  <c r="K35" i="1" s="1"/>
  <c r="K36" i="2"/>
  <c r="K36" i="1" s="1"/>
  <c r="K37" i="2"/>
  <c r="K37" i="1" s="1"/>
  <c r="K38" i="2"/>
  <c r="K38" i="1" s="1"/>
  <c r="K39" i="2"/>
  <c r="K40" i="2"/>
  <c r="K41" i="2"/>
  <c r="K42" i="2"/>
  <c r="K43" i="2"/>
  <c r="K44" i="2"/>
  <c r="K44" i="1" s="1"/>
  <c r="K45" i="2"/>
  <c r="K45" i="1" s="1"/>
  <c r="K46" i="2"/>
  <c r="K46" i="1" s="1"/>
  <c r="K47" i="2"/>
  <c r="K47" i="1" s="1"/>
  <c r="K48" i="2"/>
  <c r="K48" i="1" s="1"/>
  <c r="K49" i="2"/>
  <c r="K49" i="1" s="1"/>
  <c r="K50" i="2"/>
  <c r="K50" i="1" s="1"/>
  <c r="K51" i="2"/>
  <c r="K52" i="2"/>
  <c r="K53" i="2"/>
  <c r="K54" i="2"/>
  <c r="K55" i="2"/>
  <c r="K56" i="2"/>
  <c r="K56" i="1" s="1"/>
  <c r="K57" i="2"/>
  <c r="K57" i="1" s="1"/>
  <c r="K58" i="2"/>
  <c r="K58" i="1" s="1"/>
  <c r="K59" i="2"/>
  <c r="K59" i="1" s="1"/>
  <c r="K2" i="2"/>
  <c r="K2" i="1" s="1"/>
  <c r="K3" i="1"/>
  <c r="K4" i="1"/>
  <c r="K5" i="1"/>
  <c r="K6" i="1"/>
  <c r="K7" i="1"/>
  <c r="K15" i="1"/>
  <c r="K16" i="1"/>
  <c r="K17" i="1"/>
  <c r="K18" i="1"/>
  <c r="K19" i="1"/>
  <c r="K27" i="1"/>
  <c r="K28" i="1"/>
  <c r="K29" i="1"/>
  <c r="K30" i="1"/>
  <c r="K31" i="1"/>
  <c r="K39" i="1"/>
  <c r="K40" i="1"/>
  <c r="K41" i="1"/>
  <c r="K42" i="1"/>
  <c r="K43" i="1"/>
  <c r="K51" i="1"/>
  <c r="K52" i="1"/>
  <c r="K53" i="1"/>
  <c r="K54" i="1"/>
  <c r="K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D938B-7481-4129-A28D-A1D49454C52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<sst xmlns="http://schemas.openxmlformats.org/spreadsheetml/2006/main" count="765" uniqueCount="191">
  <si>
    <t>Day 8 – Handling Inconsistent Data</t>
  </si>
  <si>
    <t>Use Text-to-Columns, Flash Fill, and TRIM() to fix messy data.</t>
  </si>
  <si>
    <r>
      <t>Task:</t>
    </r>
    <r>
      <rPr>
        <sz val="13.95"/>
        <color rgb="FF000000"/>
        <rFont val="Arial"/>
        <family val="2"/>
      </rPr>
      <t xml:space="preserve"> Split one messy column into multiple clean ones.</t>
    </r>
  </si>
  <si>
    <t>Student_ID</t>
  </si>
  <si>
    <t>Age</t>
  </si>
  <si>
    <t>Gender</t>
  </si>
  <si>
    <t>Department</t>
  </si>
  <si>
    <t>Attendance (%)</t>
  </si>
  <si>
    <t>Average_Marks</t>
  </si>
  <si>
    <t>Last_Exam_Date</t>
  </si>
  <si>
    <t>Remarks</t>
  </si>
  <si>
    <t>S001</t>
  </si>
  <si>
    <t>male</t>
  </si>
  <si>
    <t>ECE</t>
  </si>
  <si>
    <t>Needs Improvement</t>
  </si>
  <si>
    <t>S002</t>
  </si>
  <si>
    <t>Female</t>
  </si>
  <si>
    <t>Mechanical</t>
  </si>
  <si>
    <t>2024-03-28</t>
  </si>
  <si>
    <t>Poor</t>
  </si>
  <si>
    <t>S003</t>
  </si>
  <si>
    <t>Male</t>
  </si>
  <si>
    <t>Good</t>
  </si>
  <si>
    <t>S004</t>
  </si>
  <si>
    <t>2024-03-15</t>
  </si>
  <si>
    <t>S005</t>
  </si>
  <si>
    <t>2024-03-25</t>
  </si>
  <si>
    <t>S006</t>
  </si>
  <si>
    <t>IT</t>
  </si>
  <si>
    <t>2024-03-26</t>
  </si>
  <si>
    <t>S007</t>
  </si>
  <si>
    <t>Computer Sci</t>
  </si>
  <si>
    <t>S008</t>
  </si>
  <si>
    <t>2024-03-12</t>
  </si>
  <si>
    <t>S009</t>
  </si>
  <si>
    <t>S010</t>
  </si>
  <si>
    <t>2024-03-22</t>
  </si>
  <si>
    <t>S011</t>
  </si>
  <si>
    <t>S012</t>
  </si>
  <si>
    <t>S013</t>
  </si>
  <si>
    <t>S014</t>
  </si>
  <si>
    <t>Average</t>
  </si>
  <si>
    <t>S015</t>
  </si>
  <si>
    <t>S016</t>
  </si>
  <si>
    <t>S017</t>
  </si>
  <si>
    <t>S018</t>
  </si>
  <si>
    <t>S019</t>
  </si>
  <si>
    <t>2024-03-20</t>
  </si>
  <si>
    <t>Excellent</t>
  </si>
  <si>
    <t>S020</t>
  </si>
  <si>
    <t>2024-03-18</t>
  </si>
  <si>
    <t>S021</t>
  </si>
  <si>
    <t>2024-03-19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</si>
  <si>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</si>
  <si>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</si>
  <si>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</si>
  <si>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</si>
  <si>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</si>
  <si>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</si>
  <si>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</si>
  <si>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</si>
  <si>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</si>
  <si>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</si>
  <si>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</si>
  <si>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</si>
  <si>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</si>
  <si>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</si>
  <si>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</si>
  <si>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</si>
  <si>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</si>
  <si>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</si>
  <si>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</si>
  <si>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</si>
  <si>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</si>
  <si>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</si>
  <si>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</si>
  <si>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Alice</t>
  </si>
  <si>
    <t>Johnson</t>
  </si>
  <si>
    <t>Bob</t>
  </si>
  <si>
    <t>Smith</t>
  </si>
  <si>
    <t>Carol</t>
  </si>
  <si>
    <t>Evans</t>
  </si>
  <si>
    <t>David</t>
  </si>
  <si>
    <t>Lee</t>
  </si>
  <si>
    <t>Eva</t>
  </si>
  <si>
    <t>Mendes</t>
  </si>
  <si>
    <t>Frank</t>
  </si>
  <si>
    <t>Wright</t>
  </si>
  <si>
    <t>Grace</t>
  </si>
  <si>
    <t>Kim</t>
  </si>
  <si>
    <t>Henry</t>
  </si>
  <si>
    <t>Ford</t>
  </si>
  <si>
    <t>Isla</t>
  </si>
  <si>
    <t>Moore</t>
  </si>
  <si>
    <t>Jack</t>
  </si>
  <si>
    <t>Black</t>
  </si>
  <si>
    <t>Karen</t>
  </si>
  <si>
    <t>Young</t>
  </si>
  <si>
    <t>Leo</t>
  </si>
  <si>
    <t>Brown</t>
  </si>
  <si>
    <t>Mia</t>
  </si>
  <si>
    <t>Davis</t>
  </si>
  <si>
    <t>Nina</t>
  </si>
  <si>
    <t>Patel</t>
  </si>
  <si>
    <t>Oscar</t>
  </si>
  <si>
    <t>White</t>
  </si>
  <si>
    <t>Pamela</t>
  </si>
  <si>
    <t>Green</t>
  </si>
  <si>
    <t>Quinn</t>
  </si>
  <si>
    <t>Hall</t>
  </si>
  <si>
    <t>Rita</t>
  </si>
  <si>
    <t>Clark</t>
  </si>
  <si>
    <t>Steve</t>
  </si>
  <si>
    <t>Lewis</t>
  </si>
  <si>
    <t>Tina</t>
  </si>
  <si>
    <t>Turner</t>
  </si>
  <si>
    <t>Uma</t>
  </si>
  <si>
    <t>Singh</t>
  </si>
  <si>
    <t>Vikram</t>
  </si>
  <si>
    <t>Shah</t>
  </si>
  <si>
    <t>Wendy</t>
  </si>
  <si>
    <t>Scott</t>
  </si>
  <si>
    <t>Xavier</t>
  </si>
  <si>
    <t>Hill</t>
  </si>
  <si>
    <t>Yara</t>
  </si>
  <si>
    <t>Ali</t>
  </si>
  <si>
    <t>Zane</t>
  </si>
  <si>
    <t>Carter</t>
  </si>
  <si>
    <t>Amy</t>
  </si>
  <si>
    <t>Roberts</t>
  </si>
  <si>
    <t>Brian</t>
  </si>
  <si>
    <t>King</t>
  </si>
  <si>
    <t>Clara</t>
  </si>
  <si>
    <t>Morris</t>
  </si>
  <si>
    <t>Derek</t>
  </si>
  <si>
    <t>Price</t>
  </si>
  <si>
    <t>Ella</t>
  </si>
  <si>
    <t>Brooks</t>
  </si>
  <si>
    <t>Fiona</t>
  </si>
  <si>
    <t>Fox</t>
  </si>
  <si>
    <t>George</t>
  </si>
  <si>
    <t>Hannah</t>
  </si>
  <si>
    <t>Ian</t>
  </si>
  <si>
    <t>Jenna</t>
  </si>
  <si>
    <t>Cole</t>
  </si>
  <si>
    <t>Kyle</t>
  </si>
  <si>
    <t>Adams</t>
  </si>
  <si>
    <t>Lara</t>
  </si>
  <si>
    <t>Jones</t>
  </si>
  <si>
    <t>Matt</t>
  </si>
  <si>
    <t>Nora</t>
  </si>
  <si>
    <t>Bell</t>
  </si>
  <si>
    <t>Omar</t>
  </si>
  <si>
    <t>Ahmed</t>
  </si>
  <si>
    <t>Paula</t>
  </si>
  <si>
    <t>Rose</t>
  </si>
  <si>
    <t>Quincy</t>
  </si>
  <si>
    <t>Rachel</t>
  </si>
  <si>
    <t>Cox</t>
  </si>
  <si>
    <t>First Name</t>
  </si>
  <si>
    <t>Last Name</t>
  </si>
  <si>
    <t xml:space="preserve">3) Replaced Male and Female to Male(44 Replacements) and Female(28 Replacements) using Find and replace option 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</si>
  <si>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</si>
  <si>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</si>
  <si>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</si>
  <si>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</si>
  <si>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</si>
  <si>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</si>
  <si>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</si>
  <si>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</si>
  <si>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</si>
  <si>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</si>
  <si>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</si>
  <si>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Tara</t>
  </si>
  <si>
    <t>Umar</t>
  </si>
  <si>
    <t>Khan</t>
  </si>
  <si>
    <t>Vera</t>
  </si>
  <si>
    <t>Long</t>
  </si>
  <si>
    <t>Will</t>
  </si>
  <si>
    <t>Baker</t>
  </si>
  <si>
    <t>Zara</t>
  </si>
  <si>
    <t>Malik</t>
  </si>
  <si>
    <t>Sam</t>
  </si>
  <si>
    <t>Fisher</t>
  </si>
  <si>
    <t>TRIM FUNCTIION</t>
  </si>
  <si>
    <t>4) Used TRIM Function in Remarks column and calculated in separate column asTRIM Function</t>
  </si>
  <si>
    <t>Average Marks 2</t>
  </si>
  <si>
    <t>1) Used Delimited (text to column) in Name column and splitted into two column as first and last name</t>
  </si>
  <si>
    <t>2) Replaced Eighty-Five to 85  and Twenty-One to 21 using Find and Replace option</t>
  </si>
  <si>
    <t xml:space="preserve">5) Used Flash Fill in separate column as Average Marks 2 which is depend from Average Marks Column </t>
  </si>
  <si>
    <t>Solution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</si>
</sst>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[$-14009]dd/mm/yy;@"/>
  </numFmts>
  <fonts count="6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1"/>
      <color theme="1"/>
      <name val="Segoe UI Semibold"/>
      <family val="2"/>
    </font>
    <font>
      <sz val="11"/>
      <color theme="1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left" vertical="center" indent="1"/>
    </xf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64" formatCode="[$-14009]dd\ mmmm\ 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CEC303-F913-406B-ACE1-30AA5DF84015}" autoFormatId="16" applyNumberFormats="0" applyBorderFormats="0" applyFontFormats="0" applyPatternFormats="0" applyAlignmentFormats="0" applyWidthHeightFormats="0">
  <queryTableRefresh nextId="13">
    <queryTableFields count="12">
      <queryTableField id="1" name="Student_ID" tableColumnId="1"/>
      <queryTableField id="2" name="First Name" tableColumnId="2"/>
      <queryTableField id="3" name="Last Name" tableColumnId="3"/>
      <queryTableField id="4" name="Age" tableColumnId="4"/>
      <queryTableField id="5" name="Gender" tableColumnId="5"/>
      <queryTableField id="6" name="Department" tableColumnId="6"/>
      <queryTableField id="7" name="Attendance (%)" tableColumnId="7"/>
      <queryTableField id="8" name="Average_Marks" tableColumnId="8"/>
      <queryTableField id="9" name="Last_Exam_Date" tableColumnId="9"/>
      <queryTableField id="10" name="Remarks" tableColumnId="10"/>
      <queryTableField id="11" name="TRIM FUNCTIION" tableColumnId="11"/>
      <queryTableField id="12" name="Average Marks 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6FF1B-43BE-4ACB-B334-545091F61436}" name="Table1_1" displayName="Table1_1" ref="A1:L59" tableType="queryTable" totalsRowShown="0">
  <autoFilter ref="A1:L59" xr:uid="{2046FF1B-43BE-4ACB-B334-545091F61436}"/>
  <tableColumns count="12">
    <tableColumn id="1" xr3:uid="{A7A14B95-CAD8-4CCC-9972-596DDA3B320B}" uniqueName="1" name="Student_ID" queryTableFieldId="1" dataDxfId="8"/>
    <tableColumn id="2" xr3:uid="{A06C1EE2-4717-4D4D-98D8-92FAAA5BBE9B}" uniqueName="2" name="First Name" queryTableFieldId="2" dataDxfId="7"/>
    <tableColumn id="3" xr3:uid="{180BA51A-D17F-499A-95EB-E62208C3FBBC}" uniqueName="3" name="Last Name" queryTableFieldId="3" dataDxfId="6"/>
    <tableColumn id="4" xr3:uid="{5E9755C5-135C-4E73-A5B4-7E0ED697A933}" uniqueName="4" name="Age" queryTableFieldId="4"/>
    <tableColumn id="5" xr3:uid="{B1F752C9-2637-4045-AA9B-082778FC44DD}" uniqueName="5" name="Gender" queryTableFieldId="5" dataDxfId="5"/>
    <tableColumn id="6" xr3:uid="{A88B8A68-C416-4B6D-A3A0-4048CBA27CD4}" uniqueName="6" name="Department" queryTableFieldId="6" dataDxfId="4"/>
    <tableColumn id="7" xr3:uid="{ADCAE616-C29D-4774-90C0-049164BF128D}" uniqueName="7" name="Attendance (%)" queryTableFieldId="7"/>
    <tableColumn id="8" xr3:uid="{21A83259-2B92-4E05-B2C3-EBA7C222DAC5}" uniqueName="8" name="Average_Marks" queryTableFieldId="8"/>
    <tableColumn id="9" xr3:uid="{EE52D1CB-2D71-4C61-B660-2F7E2937118A}" uniqueName="9" name="Last_Exam_Date" queryTableFieldId="9" dataDxfId="3"/>
    <tableColumn id="10" xr3:uid="{0F80BAEE-17FF-4AD4-8157-48F70C0EF42D}" uniqueName="10" name="Remarks" queryTableFieldId="10" dataDxfId="2"/>
    <tableColumn id="11" xr3:uid="{CB854F02-1834-4FD2-AE08-98E2A6119686}" uniqueName="11" name="TRIM FUNCTIION" queryTableFieldId="11" dataDxfId="1"/>
    <tableColumn id="12" xr3:uid="{9423B624-E265-452F-86EC-6FBF6B59C7AF}" uniqueName="12" name="Average Marks 2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53DA4-B8F7-4267-9187-799F20FAE4A1}" name="Table1" displayName="Table1" ref="A1:L59" totalsRowShown="0" headerRowDxfId="24" dataDxfId="22" headerRowBorderDxfId="23" tableBorderDxfId="21" totalsRowBorderDxfId="20">
  <autoFilter ref="A1:L59" xr:uid="{42353DA4-B8F7-4267-9187-799F20FAE4A1}"/>
  <tableColumns count="12">
    <tableColumn id="1" xr3:uid="{DCF80A48-C50D-4630-9EDD-249ADF19D9D3}" name="Student_ID" dataDxfId="19"/>
    <tableColumn id="2" xr3:uid="{4B239E8E-AE16-4816-955B-2C3B1C9B243F}" name="First Name" dataDxfId="18"/>
    <tableColumn id="3" xr3:uid="{6C14B79D-0438-450E-B51D-08787B2AF213}" name="Last Name" dataDxfId="17"/>
    <tableColumn id="11" xr3:uid="{CC9ED381-6EA0-4EF4-BBB7-3BD8B32E429A}" name="Age" dataDxfId="16"/>
    <tableColumn id="4" xr3:uid="{E4682BEB-BA3F-4094-999A-FCBDDB118D44}" name="Gender" dataDxfId="15"/>
    <tableColumn id="5" xr3:uid="{64E0434A-346C-4F8D-B140-F205BC8640ED}" name="Department" dataDxfId="14"/>
    <tableColumn id="6" xr3:uid="{1880A760-4E93-458A-96B1-15DC2A2EB845}" name="Attendance (%)" dataDxfId="13"/>
    <tableColumn id="7" xr3:uid="{B7F9309E-562F-49DA-9EF5-27660577F858}" name="Average_Marks" dataDxfId="12"/>
    <tableColumn id="8" xr3:uid="{61EABCA4-7916-429E-9C82-DEC95026AD2E}" name="Last_Exam_Date" dataDxfId="11"/>
    <tableColumn id="9" xr3:uid="{1E5E6A04-F028-43B4-9176-63C49528A604}" name="Remarks" dataDxfId="10"/>
    <tableColumn id="12" xr3:uid="{BD872DE8-56FB-4BAD-99AF-421C505E1435}" name="TRIM FUNCTIION" dataDxfId="0">
      <calculatedColumnFormula>Table1_1[[#This Row],[TRIM FUNCTIION]]</calculatedColumnFormula>
    </tableColumn>
    <tableColumn id="13" xr3:uid="{A8382DA9-4EDA-436B-B5EE-3DD967693E3F}" name="Average Marks 2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A435-4664-4435-947B-F0B36753BF22}">
  <dimension ref="A1:AC59"/>
  <sheetViews>
    <sheetView workbookViewId="0">
      <selection activeCell="L11" sqref="L11"/>
    </sheetView>
  </sheetViews>
  <sheetFormatPr defaultRowHeight="14.4" x14ac:dyDescent="0.3"/>
  <cols>
    <col min="1" max="2" width="12.33203125" bestFit="1" customWidth="1"/>
    <col min="3" max="3" width="12" bestFit="1" customWidth="1"/>
    <col min="4" max="4" width="6.21875" bestFit="1" customWidth="1"/>
    <col min="5" max="5" width="9.33203125" bestFit="1" customWidth="1"/>
    <col min="6" max="6" width="13.21875" bestFit="1" customWidth="1"/>
    <col min="7" max="7" width="16.109375" bestFit="1" customWidth="1"/>
    <col min="8" max="8" width="15.6640625" bestFit="1" customWidth="1"/>
    <col min="9" max="9" width="16.77734375" bestFit="1" customWidth="1"/>
    <col min="10" max="11" width="17.33203125" bestFit="1" customWidth="1"/>
    <col min="12" max="12" width="16.5546875" bestFit="1" customWidth="1"/>
  </cols>
  <sheetData>
    <row r="1" spans="1:29" x14ac:dyDescent="0.3">
      <c r="A1" t="s">
        <v>3</v>
      </c>
      <c r="B1" t="s">
        <v>159</v>
      </c>
      <c r="C1" t="s">
        <v>160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184</v>
      </c>
      <c r="L1" t="s">
        <v>186</v>
      </c>
    </row>
    <row r="2" spans="1:29" x14ac:dyDescent="0.3">
      <c r="A2" s="23" t="s">
        <v>11</v>
      </c>
      <c r="B2" s="23" t="s">
        <v>76</v>
      </c>
      <c r="C2" s="23" t="s">
        <v>77</v>
      </c>
      <c r="D2">
        <v>19</v>
      </c>
      <c r="E2" s="23" t="s">
        <v>21</v>
      </c>
      <c r="F2" s="23" t="s">
        <v>13</v>
      </c>
      <c r="G2">
        <v>74</v>
      </c>
      <c r="H2">
        <v>68</v>
      </c>
      <c r="I2" s="24">
        <v>45366</v>
      </c>
      <c r="J2" s="23" t="s">
        <v>14</v>
      </c>
      <c r="K2" s="23" t="str">
        <f>TRIM(J2)</f>
        <v>Needs Improvement</v>
      </c>
      <c r="L2" s="25">
        <f>AVERAGE(H2:H59)</f>
        <v>70.396551724137936</v>
      </c>
    </row>
    <row r="3" spans="1:29" x14ac:dyDescent="0.3">
      <c r="A3" s="23" t="s">
        <v>15</v>
      </c>
      <c r="B3" s="23" t="s">
        <v>78</v>
      </c>
      <c r="C3" s="23" t="s">
        <v>79</v>
      </c>
      <c r="D3">
        <v>22</v>
      </c>
      <c r="E3" s="23" t="s">
        <v>16</v>
      </c>
      <c r="F3" s="23" t="s">
        <v>17</v>
      </c>
      <c r="G3">
        <v>60</v>
      </c>
      <c r="H3">
        <v>58</v>
      </c>
      <c r="I3" s="24">
        <v>45379</v>
      </c>
      <c r="J3" s="23" t="s">
        <v>19</v>
      </c>
      <c r="K3" s="23" t="str">
        <f t="shared" ref="K3:K59" si="0">TRIM(J3)</f>
        <v>Poor</v>
      </c>
      <c r="L3" s="25">
        <f t="shared" ref="L3:L59" si="1">AVERAGE(H3:H60)</f>
        <v>70.438596491228068</v>
      </c>
    </row>
    <row r="4" spans="1:29" x14ac:dyDescent="0.3">
      <c r="A4" s="23" t="s">
        <v>20</v>
      </c>
      <c r="B4" s="23" t="s">
        <v>80</v>
      </c>
      <c r="C4" s="23" t="s">
        <v>81</v>
      </c>
      <c r="D4">
        <v>21</v>
      </c>
      <c r="E4" s="23" t="s">
        <v>21</v>
      </c>
      <c r="F4" s="23" t="s">
        <v>13</v>
      </c>
      <c r="G4">
        <v>69</v>
      </c>
      <c r="H4">
        <v>81</v>
      </c>
      <c r="I4" s="24">
        <v>45366</v>
      </c>
      <c r="J4" s="23" t="s">
        <v>22</v>
      </c>
      <c r="K4" s="23" t="str">
        <f t="shared" si="0"/>
        <v>Good</v>
      </c>
      <c r="L4" s="25">
        <f t="shared" si="1"/>
        <v>70.660714285714292</v>
      </c>
    </row>
    <row r="5" spans="1:29" x14ac:dyDescent="0.3">
      <c r="A5" s="23" t="s">
        <v>23</v>
      </c>
      <c r="B5" s="23" t="s">
        <v>82</v>
      </c>
      <c r="C5" s="23" t="s">
        <v>83</v>
      </c>
      <c r="D5">
        <v>21</v>
      </c>
      <c r="E5" s="23" t="s">
        <v>16</v>
      </c>
      <c r="F5" s="23" t="s">
        <v>13</v>
      </c>
      <c r="G5">
        <v>76</v>
      </c>
      <c r="H5">
        <v>62</v>
      </c>
      <c r="I5" s="24">
        <v>45366</v>
      </c>
      <c r="J5" s="23" t="s">
        <v>14</v>
      </c>
      <c r="K5" s="23" t="str">
        <f t="shared" si="0"/>
        <v>Needs Improvement</v>
      </c>
      <c r="L5" s="25">
        <f t="shared" si="1"/>
        <v>70.472727272727269</v>
      </c>
    </row>
    <row r="6" spans="1:29" x14ac:dyDescent="0.3">
      <c r="A6" s="23" t="s">
        <v>25</v>
      </c>
      <c r="B6" s="23" t="s">
        <v>84</v>
      </c>
      <c r="C6" s="23" t="s">
        <v>85</v>
      </c>
      <c r="D6">
        <v>24</v>
      </c>
      <c r="E6" s="23" t="s">
        <v>16</v>
      </c>
      <c r="F6" s="23" t="s">
        <v>17</v>
      </c>
      <c r="G6">
        <v>86</v>
      </c>
      <c r="H6">
        <v>55</v>
      </c>
      <c r="I6" s="24">
        <v>45376</v>
      </c>
      <c r="J6" s="23" t="s">
        <v>19</v>
      </c>
      <c r="K6" s="23" t="str">
        <f t="shared" si="0"/>
        <v>Poor</v>
      </c>
      <c r="L6" s="25">
        <f t="shared" si="1"/>
        <v>70.629629629629633</v>
      </c>
    </row>
    <row r="7" spans="1:29" x14ac:dyDescent="0.3">
      <c r="A7" s="23" t="s">
        <v>27</v>
      </c>
      <c r="B7" s="23" t="s">
        <v>86</v>
      </c>
      <c r="C7" s="23" t="s">
        <v>87</v>
      </c>
      <c r="D7">
        <v>25</v>
      </c>
      <c r="E7" s="23" t="s">
        <v>16</v>
      </c>
      <c r="F7" s="23" t="s">
        <v>28</v>
      </c>
      <c r="G7">
        <v>52</v>
      </c>
      <c r="H7">
        <v>58</v>
      </c>
      <c r="I7" s="24">
        <v>45377</v>
      </c>
      <c r="J7" s="23" t="s">
        <v>19</v>
      </c>
      <c r="K7" s="23" t="str">
        <f t="shared" si="0"/>
        <v>Poor</v>
      </c>
      <c r="L7" s="25">
        <f t="shared" si="1"/>
        <v>70.924528301886795</v>
      </c>
    </row>
    <row r="8" spans="1:29" x14ac:dyDescent="0.3">
      <c r="A8" s="23" t="s">
        <v>30</v>
      </c>
      <c r="B8" s="23" t="s">
        <v>88</v>
      </c>
      <c r="C8" s="23" t="s">
        <v>89</v>
      </c>
      <c r="D8">
        <v>22</v>
      </c>
      <c r="E8" s="23" t="s">
        <v>16</v>
      </c>
      <c r="F8" s="23" t="s">
        <v>31</v>
      </c>
      <c r="G8">
        <v>92</v>
      </c>
      <c r="H8">
        <v>62</v>
      </c>
      <c r="I8" s="24">
        <v>45366</v>
      </c>
      <c r="J8" s="23" t="s">
        <v>14</v>
      </c>
      <c r="K8" s="23" t="str">
        <f t="shared" si="0"/>
        <v>Needs Improvement</v>
      </c>
      <c r="L8" s="25">
        <f t="shared" si="1"/>
        <v>71.17307692307692</v>
      </c>
    </row>
    <row r="9" spans="1:29" ht="17.399999999999999" x14ac:dyDescent="0.3">
      <c r="A9" s="23" t="s">
        <v>32</v>
      </c>
      <c r="B9" s="23" t="s">
        <v>90</v>
      </c>
      <c r="C9" s="23" t="s">
        <v>91</v>
      </c>
      <c r="D9">
        <v>24</v>
      </c>
      <c r="E9" s="23" t="s">
        <v>21</v>
      </c>
      <c r="F9" s="23" t="s">
        <v>31</v>
      </c>
      <c r="G9">
        <v>83</v>
      </c>
      <c r="H9">
        <v>58</v>
      </c>
      <c r="I9" s="24">
        <v>45363</v>
      </c>
      <c r="J9" s="23" t="s">
        <v>19</v>
      </c>
      <c r="K9" s="23" t="str">
        <f t="shared" si="0"/>
        <v>Poor</v>
      </c>
      <c r="L9" s="25">
        <f t="shared" si="1"/>
        <v>71.352941176470594</v>
      </c>
      <c r="P9" s="1" t="s">
        <v>0</v>
      </c>
    </row>
    <row r="10" spans="1:29" ht="17.399999999999999" x14ac:dyDescent="0.3">
      <c r="A10" s="23" t="s">
        <v>34</v>
      </c>
      <c r="B10" s="23" t="s">
        <v>92</v>
      </c>
      <c r="C10" s="23" t="s">
        <v>93</v>
      </c>
      <c r="D10">
        <v>21</v>
      </c>
      <c r="E10" s="23" t="s">
        <v>16</v>
      </c>
      <c r="F10" s="23" t="s">
        <v>17</v>
      </c>
      <c r="G10">
        <v>54</v>
      </c>
      <c r="H10">
        <v>59</v>
      </c>
      <c r="I10" s="24">
        <v>45376</v>
      </c>
      <c r="J10" s="23" t="s">
        <v>19</v>
      </c>
      <c r="K10" s="23" t="str">
        <f t="shared" si="0"/>
        <v>Poor</v>
      </c>
      <c r="L10" s="25">
        <f t="shared" si="1"/>
        <v>71.62</v>
      </c>
      <c r="P10" s="2" t="s">
        <v>1</v>
      </c>
    </row>
    <row r="11" spans="1:29" ht="17.399999999999999" x14ac:dyDescent="0.3">
      <c r="A11" s="23" t="s">
        <v>35</v>
      </c>
      <c r="B11" s="23" t="s">
        <v>94</v>
      </c>
      <c r="C11" s="23" t="s">
        <v>95</v>
      </c>
      <c r="D11">
        <v>19</v>
      </c>
      <c r="E11" s="23" t="s">
        <v>16</v>
      </c>
      <c r="F11" s="23" t="s">
        <v>13</v>
      </c>
      <c r="G11">
        <v>95</v>
      </c>
      <c r="H11">
        <v>64</v>
      </c>
      <c r="I11" s="24">
        <v>45373</v>
      </c>
      <c r="J11" s="23" t="s">
        <v>14</v>
      </c>
      <c r="K11" s="23" t="str">
        <f t="shared" si="0"/>
        <v>Needs Improvement</v>
      </c>
      <c r="L11" s="25">
        <f t="shared" si="1"/>
        <v>71.877551020408163</v>
      </c>
      <c r="O11" s="21"/>
      <c r="P11" s="22" t="s">
        <v>2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x14ac:dyDescent="0.3">
      <c r="A12" s="23" t="s">
        <v>37</v>
      </c>
      <c r="B12" s="23" t="s">
        <v>96</v>
      </c>
      <c r="C12" s="23" t="s">
        <v>97</v>
      </c>
      <c r="D12">
        <v>24</v>
      </c>
      <c r="E12" s="23" t="s">
        <v>21</v>
      </c>
      <c r="F12" s="23" t="s">
        <v>13</v>
      </c>
      <c r="G12">
        <v>85</v>
      </c>
      <c r="H12">
        <v>59</v>
      </c>
      <c r="I12" s="24">
        <v>45379</v>
      </c>
      <c r="J12" s="23" t="s">
        <v>19</v>
      </c>
      <c r="K12" s="23" t="str">
        <f t="shared" si="0"/>
        <v>Poor</v>
      </c>
      <c r="L12" s="25">
        <f t="shared" si="1"/>
        <v>72.041666666666671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x14ac:dyDescent="0.3">
      <c r="A13" s="23" t="s">
        <v>38</v>
      </c>
      <c r="B13" s="23" t="s">
        <v>98</v>
      </c>
      <c r="C13" s="23" t="s">
        <v>99</v>
      </c>
      <c r="D13">
        <v>22</v>
      </c>
      <c r="E13" s="23" t="s">
        <v>16</v>
      </c>
      <c r="F13" s="23" t="s">
        <v>31</v>
      </c>
      <c r="G13">
        <v>53</v>
      </c>
      <c r="H13">
        <v>97</v>
      </c>
      <c r="I13" s="24">
        <v>45366</v>
      </c>
      <c r="J13" s="23" t="s">
        <v>19</v>
      </c>
      <c r="K13" s="23" t="str">
        <f t="shared" si="0"/>
        <v>Poor</v>
      </c>
      <c r="L13" s="25">
        <f t="shared" si="1"/>
        <v>72.319148936170208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x14ac:dyDescent="0.3">
      <c r="A14" s="23" t="s">
        <v>39</v>
      </c>
      <c r="B14" s="23" t="s">
        <v>100</v>
      </c>
      <c r="C14" s="23" t="s">
        <v>101</v>
      </c>
      <c r="D14">
        <v>21</v>
      </c>
      <c r="E14" s="23" t="s">
        <v>16</v>
      </c>
      <c r="F14" s="23" t="s">
        <v>31</v>
      </c>
      <c r="G14">
        <v>64</v>
      </c>
      <c r="H14">
        <v>54</v>
      </c>
      <c r="I14" s="24">
        <v>45379</v>
      </c>
      <c r="J14" s="23" t="s">
        <v>19</v>
      </c>
      <c r="K14" s="23" t="str">
        <f t="shared" si="0"/>
        <v>Poor</v>
      </c>
      <c r="L14" s="25">
        <f t="shared" si="1"/>
        <v>71.782608695652172</v>
      </c>
      <c r="O14" s="21"/>
      <c r="P14" s="21" t="s">
        <v>190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x14ac:dyDescent="0.3">
      <c r="A15" s="23" t="s">
        <v>40</v>
      </c>
      <c r="B15" s="23" t="s">
        <v>102</v>
      </c>
      <c r="C15" s="23" t="s">
        <v>103</v>
      </c>
      <c r="D15">
        <v>25</v>
      </c>
      <c r="E15" s="23" t="s">
        <v>16</v>
      </c>
      <c r="F15" s="23" t="s">
        <v>31</v>
      </c>
      <c r="G15">
        <v>92</v>
      </c>
      <c r="H15">
        <v>77</v>
      </c>
      <c r="I15" s="24">
        <v>45366</v>
      </c>
      <c r="J15" s="23" t="s">
        <v>41</v>
      </c>
      <c r="K15" s="23" t="str">
        <f t="shared" si="0"/>
        <v>Average</v>
      </c>
      <c r="L15" s="25">
        <f t="shared" si="1"/>
        <v>72.177777777777777</v>
      </c>
      <c r="O15" s="21"/>
      <c r="P15" s="21"/>
      <c r="Q15" s="21" t="s">
        <v>187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x14ac:dyDescent="0.3">
      <c r="A16" s="23" t="s">
        <v>42</v>
      </c>
      <c r="B16" s="23" t="s">
        <v>104</v>
      </c>
      <c r="C16" s="23" t="s">
        <v>105</v>
      </c>
      <c r="D16">
        <v>19</v>
      </c>
      <c r="E16" s="23" t="s">
        <v>16</v>
      </c>
      <c r="F16" s="23" t="s">
        <v>28</v>
      </c>
      <c r="G16">
        <v>89</v>
      </c>
      <c r="H16">
        <v>71</v>
      </c>
      <c r="I16" s="24">
        <v>45366</v>
      </c>
      <c r="J16" s="23" t="s">
        <v>41</v>
      </c>
      <c r="K16" s="23" t="str">
        <f t="shared" si="0"/>
        <v>Average</v>
      </c>
      <c r="L16" s="25">
        <f t="shared" si="1"/>
        <v>72.068181818181813</v>
      </c>
      <c r="O16" s="21"/>
      <c r="P16" s="21"/>
      <c r="Q16" s="21" t="s">
        <v>188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x14ac:dyDescent="0.3">
      <c r="A17" s="23" t="s">
        <v>43</v>
      </c>
      <c r="B17" s="23" t="s">
        <v>106</v>
      </c>
      <c r="C17" s="23" t="s">
        <v>107</v>
      </c>
      <c r="D17">
        <v>22</v>
      </c>
      <c r="E17" s="23" t="s">
        <v>16</v>
      </c>
      <c r="F17" s="23" t="s">
        <v>13</v>
      </c>
      <c r="G17">
        <v>59</v>
      </c>
      <c r="H17">
        <v>58</v>
      </c>
      <c r="I17" s="24">
        <v>45366</v>
      </c>
      <c r="J17" s="23" t="s">
        <v>19</v>
      </c>
      <c r="K17" s="23" t="str">
        <f t="shared" si="0"/>
        <v>Poor</v>
      </c>
      <c r="L17" s="25">
        <f t="shared" si="1"/>
        <v>72.093023255813947</v>
      </c>
      <c r="O17" s="21"/>
      <c r="P17" s="21"/>
      <c r="Q17" s="21" t="s">
        <v>161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x14ac:dyDescent="0.3">
      <c r="A18" s="23" t="s">
        <v>44</v>
      </c>
      <c r="B18" s="23" t="s">
        <v>108</v>
      </c>
      <c r="C18" s="23" t="s">
        <v>109</v>
      </c>
      <c r="D18">
        <v>19</v>
      </c>
      <c r="E18" s="23" t="s">
        <v>16</v>
      </c>
      <c r="F18" s="23" t="s">
        <v>28</v>
      </c>
      <c r="G18">
        <v>61</v>
      </c>
      <c r="H18">
        <v>55</v>
      </c>
      <c r="I18" s="24">
        <v>45379</v>
      </c>
      <c r="J18" s="23" t="s">
        <v>19</v>
      </c>
      <c r="K18" s="23" t="str">
        <f t="shared" si="0"/>
        <v>Poor</v>
      </c>
      <c r="L18" s="25">
        <f t="shared" si="1"/>
        <v>72.428571428571431</v>
      </c>
      <c r="O18" s="21"/>
      <c r="P18" s="21"/>
      <c r="Q18" s="21" t="s">
        <v>185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x14ac:dyDescent="0.3">
      <c r="A19" s="23" t="s">
        <v>45</v>
      </c>
      <c r="B19" s="23" t="s">
        <v>110</v>
      </c>
      <c r="C19" s="23" t="s">
        <v>111</v>
      </c>
      <c r="D19">
        <v>22</v>
      </c>
      <c r="E19" s="23" t="s">
        <v>16</v>
      </c>
      <c r="F19" s="23" t="s">
        <v>28</v>
      </c>
      <c r="G19">
        <v>69</v>
      </c>
      <c r="H19">
        <v>70</v>
      </c>
      <c r="I19" s="24">
        <v>45373</v>
      </c>
      <c r="J19" s="23" t="s">
        <v>14</v>
      </c>
      <c r="K19" s="23" t="str">
        <f t="shared" si="0"/>
        <v>Needs Improvement</v>
      </c>
      <c r="L19" s="25">
        <f t="shared" si="1"/>
        <v>72.853658536585371</v>
      </c>
      <c r="O19" s="21"/>
      <c r="P19" s="21"/>
      <c r="Q19" s="21" t="s">
        <v>189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x14ac:dyDescent="0.3">
      <c r="A20" s="23" t="s">
        <v>46</v>
      </c>
      <c r="B20" s="23" t="s">
        <v>112</v>
      </c>
      <c r="C20" s="23" t="s">
        <v>113</v>
      </c>
      <c r="D20">
        <v>19</v>
      </c>
      <c r="E20" s="23" t="s">
        <v>16</v>
      </c>
      <c r="F20" s="23" t="s">
        <v>17</v>
      </c>
      <c r="G20">
        <v>75</v>
      </c>
      <c r="H20">
        <v>100</v>
      </c>
      <c r="I20" s="24">
        <v>45371</v>
      </c>
      <c r="J20" s="23" t="s">
        <v>48</v>
      </c>
      <c r="K20" s="23" t="str">
        <f t="shared" si="0"/>
        <v>Excellent</v>
      </c>
      <c r="L20" s="25">
        <f t="shared" si="1"/>
        <v>72.924999999999997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x14ac:dyDescent="0.3">
      <c r="A21" s="23" t="s">
        <v>49</v>
      </c>
      <c r="B21" s="23" t="s">
        <v>114</v>
      </c>
      <c r="C21" s="23" t="s">
        <v>115</v>
      </c>
      <c r="D21">
        <v>19</v>
      </c>
      <c r="E21" s="23" t="s">
        <v>21</v>
      </c>
      <c r="F21" s="23" t="s">
        <v>28</v>
      </c>
      <c r="G21">
        <v>82</v>
      </c>
      <c r="H21">
        <v>95</v>
      </c>
      <c r="I21" s="24">
        <v>45369</v>
      </c>
      <c r="J21" s="23" t="s">
        <v>48</v>
      </c>
      <c r="K21" s="23" t="str">
        <f t="shared" si="0"/>
        <v>Excellent</v>
      </c>
      <c r="L21" s="25">
        <f t="shared" si="1"/>
        <v>72.230769230769226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x14ac:dyDescent="0.3">
      <c r="A22" s="23" t="s">
        <v>51</v>
      </c>
      <c r="B22" s="23" t="s">
        <v>116</v>
      </c>
      <c r="C22" s="23" t="s">
        <v>117</v>
      </c>
      <c r="D22">
        <v>19</v>
      </c>
      <c r="E22" s="23" t="s">
        <v>21</v>
      </c>
      <c r="F22" s="23" t="s">
        <v>13</v>
      </c>
      <c r="G22">
        <v>69</v>
      </c>
      <c r="H22">
        <v>92</v>
      </c>
      <c r="I22" s="24">
        <v>45370</v>
      </c>
      <c r="J22" s="23" t="s">
        <v>48</v>
      </c>
      <c r="K22" s="23" t="str">
        <f t="shared" si="0"/>
        <v>Excellent</v>
      </c>
      <c r="L22" s="25">
        <f t="shared" si="1"/>
        <v>71.631578947368425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x14ac:dyDescent="0.3">
      <c r="A23" s="23" t="s">
        <v>53</v>
      </c>
      <c r="B23" s="23" t="s">
        <v>118</v>
      </c>
      <c r="C23" s="23" t="s">
        <v>119</v>
      </c>
      <c r="D23">
        <v>22</v>
      </c>
      <c r="E23" s="23" t="s">
        <v>21</v>
      </c>
      <c r="F23" s="23" t="s">
        <v>17</v>
      </c>
      <c r="G23">
        <v>74</v>
      </c>
      <c r="H23">
        <v>63</v>
      </c>
      <c r="I23" s="24">
        <v>45369</v>
      </c>
      <c r="J23" s="23" t="s">
        <v>19</v>
      </c>
      <c r="K23" s="23" t="str">
        <f t="shared" si="0"/>
        <v>Poor</v>
      </c>
      <c r="L23" s="25">
        <f t="shared" si="1"/>
        <v>71.081081081081081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x14ac:dyDescent="0.3">
      <c r="A24" s="23" t="s">
        <v>20</v>
      </c>
      <c r="B24" s="23" t="s">
        <v>80</v>
      </c>
      <c r="C24" s="23" t="s">
        <v>81</v>
      </c>
      <c r="D24">
        <v>21</v>
      </c>
      <c r="E24" s="23" t="s">
        <v>21</v>
      </c>
      <c r="F24" s="23" t="s">
        <v>13</v>
      </c>
      <c r="G24">
        <v>69</v>
      </c>
      <c r="H24">
        <v>81</v>
      </c>
      <c r="I24" s="24">
        <v>45370</v>
      </c>
      <c r="J24" s="23" t="s">
        <v>22</v>
      </c>
      <c r="K24" s="23" t="str">
        <f t="shared" si="0"/>
        <v>Good</v>
      </c>
      <c r="L24" s="25">
        <f t="shared" si="1"/>
        <v>71.305555555555557</v>
      </c>
    </row>
    <row r="25" spans="1:29" x14ac:dyDescent="0.3">
      <c r="A25" s="23" t="s">
        <v>54</v>
      </c>
      <c r="B25" s="23" t="s">
        <v>120</v>
      </c>
      <c r="C25" s="23" t="s">
        <v>121</v>
      </c>
      <c r="D25">
        <v>23</v>
      </c>
      <c r="E25" s="23" t="s">
        <v>16</v>
      </c>
      <c r="F25" s="23" t="s">
        <v>28</v>
      </c>
      <c r="G25">
        <v>89</v>
      </c>
      <c r="H25">
        <v>58</v>
      </c>
      <c r="I25" s="24">
        <v>45371</v>
      </c>
      <c r="J25" s="23" t="s">
        <v>19</v>
      </c>
      <c r="K25" s="23" t="str">
        <f t="shared" si="0"/>
        <v>Poor</v>
      </c>
      <c r="L25" s="25">
        <f t="shared" si="1"/>
        <v>71.028571428571425</v>
      </c>
    </row>
    <row r="26" spans="1:29" x14ac:dyDescent="0.3">
      <c r="A26" s="23" t="s">
        <v>55</v>
      </c>
      <c r="B26" s="23" t="s">
        <v>122</v>
      </c>
      <c r="C26" s="23" t="s">
        <v>123</v>
      </c>
      <c r="D26">
        <v>22</v>
      </c>
      <c r="E26" s="23" t="s">
        <v>16</v>
      </c>
      <c r="F26" s="23" t="s">
        <v>13</v>
      </c>
      <c r="G26">
        <v>51</v>
      </c>
      <c r="H26">
        <v>85</v>
      </c>
      <c r="I26" s="24">
        <v>45371</v>
      </c>
      <c r="J26" s="23" t="s">
        <v>22</v>
      </c>
      <c r="K26" s="23" t="str">
        <f t="shared" si="0"/>
        <v>Good</v>
      </c>
      <c r="L26" s="25">
        <f t="shared" si="1"/>
        <v>71.411764705882348</v>
      </c>
    </row>
    <row r="27" spans="1:29" x14ac:dyDescent="0.3">
      <c r="A27" s="23" t="s">
        <v>56</v>
      </c>
      <c r="B27" s="23" t="s">
        <v>124</v>
      </c>
      <c r="C27" s="23" t="s">
        <v>125</v>
      </c>
      <c r="D27">
        <v>22</v>
      </c>
      <c r="E27" s="23" t="s">
        <v>21</v>
      </c>
      <c r="F27" s="23" t="s">
        <v>17</v>
      </c>
      <c r="G27">
        <v>63</v>
      </c>
      <c r="H27">
        <v>98</v>
      </c>
      <c r="I27" s="24">
        <v>45369</v>
      </c>
      <c r="J27" s="23" t="s">
        <v>48</v>
      </c>
      <c r="K27" s="23" t="str">
        <f t="shared" si="0"/>
        <v>Excellent</v>
      </c>
      <c r="L27" s="25">
        <f t="shared" si="1"/>
        <v>71</v>
      </c>
    </row>
    <row r="28" spans="1:29" x14ac:dyDescent="0.3">
      <c r="A28" s="23" t="s">
        <v>57</v>
      </c>
      <c r="B28" s="23" t="s">
        <v>126</v>
      </c>
      <c r="C28" s="23" t="s">
        <v>127</v>
      </c>
      <c r="D28">
        <v>21</v>
      </c>
      <c r="E28" s="23" t="s">
        <v>16</v>
      </c>
      <c r="F28" s="23" t="s">
        <v>17</v>
      </c>
      <c r="G28">
        <v>87</v>
      </c>
      <c r="H28">
        <v>79</v>
      </c>
      <c r="I28" s="24">
        <v>45371</v>
      </c>
      <c r="J28" s="23" t="s">
        <v>41</v>
      </c>
      <c r="K28" s="23" t="str">
        <f t="shared" si="0"/>
        <v>Average</v>
      </c>
      <c r="L28" s="25">
        <f t="shared" si="1"/>
        <v>70.15625</v>
      </c>
    </row>
    <row r="29" spans="1:29" x14ac:dyDescent="0.3">
      <c r="A29" s="23" t="s">
        <v>58</v>
      </c>
      <c r="B29" s="23" t="s">
        <v>128</v>
      </c>
      <c r="C29" s="23" t="s">
        <v>129</v>
      </c>
      <c r="D29">
        <v>20</v>
      </c>
      <c r="E29" s="23" t="s">
        <v>21</v>
      </c>
      <c r="F29" s="23" t="s">
        <v>31</v>
      </c>
      <c r="G29">
        <v>97</v>
      </c>
      <c r="H29">
        <v>80</v>
      </c>
      <c r="I29" s="24">
        <v>45369</v>
      </c>
      <c r="J29" s="23" t="s">
        <v>41</v>
      </c>
      <c r="K29" s="23" t="str">
        <f t="shared" si="0"/>
        <v>Average</v>
      </c>
      <c r="L29" s="25">
        <f t="shared" si="1"/>
        <v>69.870967741935488</v>
      </c>
    </row>
    <row r="30" spans="1:29" x14ac:dyDescent="0.3">
      <c r="A30" s="23" t="s">
        <v>59</v>
      </c>
      <c r="B30" s="23" t="s">
        <v>130</v>
      </c>
      <c r="C30" s="23" t="s">
        <v>131</v>
      </c>
      <c r="D30">
        <v>24</v>
      </c>
      <c r="E30" s="23" t="s">
        <v>16</v>
      </c>
      <c r="F30" s="23" t="s">
        <v>17</v>
      </c>
      <c r="G30">
        <v>76</v>
      </c>
      <c r="H30">
        <v>64</v>
      </c>
      <c r="I30" s="24">
        <v>45376</v>
      </c>
      <c r="J30" s="23" t="s">
        <v>14</v>
      </c>
      <c r="K30" s="23" t="str">
        <f t="shared" si="0"/>
        <v>Needs Improvement</v>
      </c>
      <c r="L30" s="25">
        <f t="shared" si="1"/>
        <v>69.533333333333331</v>
      </c>
    </row>
    <row r="31" spans="1:29" x14ac:dyDescent="0.3">
      <c r="A31" s="23" t="s">
        <v>60</v>
      </c>
      <c r="B31" s="23" t="s">
        <v>132</v>
      </c>
      <c r="C31" s="23" t="s">
        <v>133</v>
      </c>
      <c r="D31">
        <v>20</v>
      </c>
      <c r="E31" s="23" t="s">
        <v>16</v>
      </c>
      <c r="F31" s="23" t="s">
        <v>28</v>
      </c>
      <c r="G31">
        <v>77</v>
      </c>
      <c r="H31">
        <v>90</v>
      </c>
      <c r="I31" s="24">
        <v>45371</v>
      </c>
      <c r="J31" s="23" t="s">
        <v>22</v>
      </c>
      <c r="K31" s="23" t="str">
        <f t="shared" si="0"/>
        <v>Good</v>
      </c>
      <c r="L31" s="25">
        <f t="shared" si="1"/>
        <v>69.724137931034477</v>
      </c>
    </row>
    <row r="32" spans="1:29" x14ac:dyDescent="0.3">
      <c r="A32" s="23" t="s">
        <v>61</v>
      </c>
      <c r="B32" s="23" t="s">
        <v>134</v>
      </c>
      <c r="C32" s="23" t="s">
        <v>135</v>
      </c>
      <c r="D32">
        <v>22</v>
      </c>
      <c r="E32" s="23" t="s">
        <v>16</v>
      </c>
      <c r="F32" s="23" t="s">
        <v>28</v>
      </c>
      <c r="G32">
        <v>55</v>
      </c>
      <c r="H32">
        <v>59</v>
      </c>
      <c r="I32" s="24">
        <v>45366</v>
      </c>
      <c r="J32" s="23" t="s">
        <v>19</v>
      </c>
      <c r="K32" s="23" t="str">
        <f t="shared" si="0"/>
        <v>Poor</v>
      </c>
      <c r="L32" s="25">
        <f t="shared" si="1"/>
        <v>69</v>
      </c>
    </row>
    <row r="33" spans="1:12" x14ac:dyDescent="0.3">
      <c r="A33" s="23" t="s">
        <v>62</v>
      </c>
      <c r="B33" s="23" t="s">
        <v>136</v>
      </c>
      <c r="C33" s="23" t="s">
        <v>137</v>
      </c>
      <c r="D33">
        <v>19</v>
      </c>
      <c r="E33" s="23" t="s">
        <v>16</v>
      </c>
      <c r="F33" s="23" t="s">
        <v>28</v>
      </c>
      <c r="G33">
        <v>73</v>
      </c>
      <c r="H33">
        <v>67</v>
      </c>
      <c r="I33" s="24">
        <v>45366</v>
      </c>
      <c r="J33" s="23" t="s">
        <v>14</v>
      </c>
      <c r="K33" s="23" t="str">
        <f t="shared" si="0"/>
        <v>Needs Improvement</v>
      </c>
      <c r="L33" s="25">
        <f t="shared" si="1"/>
        <v>69.370370370370367</v>
      </c>
    </row>
    <row r="34" spans="1:12" x14ac:dyDescent="0.3">
      <c r="A34" s="23" t="s">
        <v>63</v>
      </c>
      <c r="B34" s="23" t="s">
        <v>138</v>
      </c>
      <c r="C34" s="23" t="s">
        <v>139</v>
      </c>
      <c r="D34">
        <v>22</v>
      </c>
      <c r="E34" s="23" t="s">
        <v>16</v>
      </c>
      <c r="F34" s="23" t="s">
        <v>31</v>
      </c>
      <c r="G34">
        <v>78</v>
      </c>
      <c r="H34">
        <v>72</v>
      </c>
      <c r="I34" s="24">
        <v>45369</v>
      </c>
      <c r="J34" s="23" t="s">
        <v>41</v>
      </c>
      <c r="K34" s="23" t="str">
        <f t="shared" si="0"/>
        <v>Average</v>
      </c>
      <c r="L34" s="25">
        <f t="shared" si="1"/>
        <v>69.461538461538467</v>
      </c>
    </row>
    <row r="35" spans="1:12" x14ac:dyDescent="0.3">
      <c r="A35" s="23" t="s">
        <v>64</v>
      </c>
      <c r="B35" s="23" t="s">
        <v>140</v>
      </c>
      <c r="C35" s="23" t="s">
        <v>123</v>
      </c>
      <c r="D35">
        <v>19</v>
      </c>
      <c r="E35" s="23" t="s">
        <v>21</v>
      </c>
      <c r="F35" s="23" t="s">
        <v>28</v>
      </c>
      <c r="G35">
        <v>62</v>
      </c>
      <c r="H35">
        <v>76</v>
      </c>
      <c r="I35" s="24">
        <v>45371</v>
      </c>
      <c r="J35" s="23" t="s">
        <v>41</v>
      </c>
      <c r="K35" s="23" t="str">
        <f t="shared" si="0"/>
        <v>Average</v>
      </c>
      <c r="L35" s="25">
        <f t="shared" si="1"/>
        <v>69.36</v>
      </c>
    </row>
    <row r="36" spans="1:12" x14ac:dyDescent="0.3">
      <c r="A36" s="23" t="s">
        <v>65</v>
      </c>
      <c r="B36" s="23" t="s">
        <v>141</v>
      </c>
      <c r="C36" s="23" t="s">
        <v>83</v>
      </c>
      <c r="D36">
        <v>25</v>
      </c>
      <c r="E36" s="23" t="s">
        <v>21</v>
      </c>
      <c r="F36" s="23" t="s">
        <v>28</v>
      </c>
      <c r="G36">
        <v>64</v>
      </c>
      <c r="H36">
        <v>62</v>
      </c>
      <c r="I36" s="24">
        <v>45366</v>
      </c>
      <c r="J36" s="23" t="s">
        <v>19</v>
      </c>
      <c r="K36" s="23" t="str">
        <f t="shared" si="0"/>
        <v>Poor</v>
      </c>
      <c r="L36" s="25">
        <f t="shared" si="1"/>
        <v>69.083333333333329</v>
      </c>
    </row>
    <row r="37" spans="1:12" x14ac:dyDescent="0.3">
      <c r="A37" s="23" t="s">
        <v>66</v>
      </c>
      <c r="B37" s="23" t="s">
        <v>142</v>
      </c>
      <c r="C37" s="23" t="s">
        <v>87</v>
      </c>
      <c r="D37">
        <v>22</v>
      </c>
      <c r="E37" s="23" t="s">
        <v>16</v>
      </c>
      <c r="F37" s="23" t="s">
        <v>13</v>
      </c>
      <c r="G37">
        <v>69</v>
      </c>
      <c r="H37">
        <v>56</v>
      </c>
      <c r="I37" s="24">
        <v>45373</v>
      </c>
      <c r="J37" s="23" t="s">
        <v>19</v>
      </c>
      <c r="K37" s="23" t="str">
        <f t="shared" si="0"/>
        <v>Poor</v>
      </c>
      <c r="L37" s="25">
        <f t="shared" si="1"/>
        <v>69.391304347826093</v>
      </c>
    </row>
    <row r="38" spans="1:12" x14ac:dyDescent="0.3">
      <c r="A38" s="23" t="s">
        <v>67</v>
      </c>
      <c r="B38" s="23" t="s">
        <v>143</v>
      </c>
      <c r="C38" s="23" t="s">
        <v>144</v>
      </c>
      <c r="D38">
        <v>22</v>
      </c>
      <c r="E38" s="23" t="s">
        <v>16</v>
      </c>
      <c r="F38" s="23" t="s">
        <v>31</v>
      </c>
      <c r="G38">
        <v>51</v>
      </c>
      <c r="H38">
        <v>82</v>
      </c>
      <c r="I38" s="24">
        <v>45363</v>
      </c>
      <c r="J38" s="23" t="s">
        <v>22</v>
      </c>
      <c r="K38" s="23" t="str">
        <f t="shared" si="0"/>
        <v>Good</v>
      </c>
      <c r="L38" s="25">
        <f t="shared" si="1"/>
        <v>70</v>
      </c>
    </row>
    <row r="39" spans="1:12" x14ac:dyDescent="0.3">
      <c r="A39" s="23" t="s">
        <v>68</v>
      </c>
      <c r="B39" s="23" t="s">
        <v>145</v>
      </c>
      <c r="C39" s="23" t="s">
        <v>146</v>
      </c>
      <c r="D39">
        <v>19</v>
      </c>
      <c r="E39" s="23" t="s">
        <v>16</v>
      </c>
      <c r="F39" s="23" t="s">
        <v>31</v>
      </c>
      <c r="G39">
        <v>66</v>
      </c>
      <c r="H39">
        <v>65</v>
      </c>
      <c r="I39" s="24">
        <v>45366</v>
      </c>
      <c r="J39" s="23" t="s">
        <v>14</v>
      </c>
      <c r="K39" s="23" t="str">
        <f t="shared" si="0"/>
        <v>Needs Improvement</v>
      </c>
      <c r="L39" s="25">
        <f t="shared" si="1"/>
        <v>69.428571428571431</v>
      </c>
    </row>
    <row r="40" spans="1:12" x14ac:dyDescent="0.3">
      <c r="A40" s="23" t="s">
        <v>69</v>
      </c>
      <c r="B40" s="23" t="s">
        <v>147</v>
      </c>
      <c r="C40" s="23" t="s">
        <v>148</v>
      </c>
      <c r="D40">
        <v>22</v>
      </c>
      <c r="E40" s="23" t="s">
        <v>16</v>
      </c>
      <c r="F40" s="23" t="s">
        <v>31</v>
      </c>
      <c r="G40">
        <v>61</v>
      </c>
      <c r="H40">
        <v>80</v>
      </c>
      <c r="I40" s="24">
        <v>45373</v>
      </c>
      <c r="J40" s="23" t="s">
        <v>41</v>
      </c>
      <c r="K40" s="23" t="str">
        <f t="shared" si="0"/>
        <v>Average</v>
      </c>
      <c r="L40" s="25">
        <f t="shared" si="1"/>
        <v>69.650000000000006</v>
      </c>
    </row>
    <row r="41" spans="1:12" x14ac:dyDescent="0.3">
      <c r="A41" s="23" t="s">
        <v>70</v>
      </c>
      <c r="B41" s="23" t="s">
        <v>149</v>
      </c>
      <c r="C41" s="23" t="s">
        <v>107</v>
      </c>
      <c r="D41">
        <v>22</v>
      </c>
      <c r="E41" s="23" t="s">
        <v>16</v>
      </c>
      <c r="F41" s="23" t="s">
        <v>31</v>
      </c>
      <c r="G41">
        <v>67</v>
      </c>
      <c r="H41">
        <v>58</v>
      </c>
      <c r="I41" s="24">
        <v>45369</v>
      </c>
      <c r="J41" s="23" t="s">
        <v>19</v>
      </c>
      <c r="K41" s="23" t="str">
        <f t="shared" si="0"/>
        <v>Poor</v>
      </c>
      <c r="L41" s="25">
        <f t="shared" si="1"/>
        <v>69.10526315789474</v>
      </c>
    </row>
    <row r="42" spans="1:12" x14ac:dyDescent="0.3">
      <c r="A42" s="23" t="s">
        <v>71</v>
      </c>
      <c r="B42" s="23" t="s">
        <v>150</v>
      </c>
      <c r="C42" s="23" t="s">
        <v>151</v>
      </c>
      <c r="D42">
        <v>22</v>
      </c>
      <c r="E42" s="23" t="s">
        <v>16</v>
      </c>
      <c r="F42" s="23" t="s">
        <v>31</v>
      </c>
      <c r="G42">
        <v>56</v>
      </c>
      <c r="H42">
        <v>75</v>
      </c>
      <c r="I42" s="24">
        <v>45366</v>
      </c>
      <c r="J42" s="23" t="s">
        <v>41</v>
      </c>
      <c r="K42" s="23" t="str">
        <f t="shared" si="0"/>
        <v>Average</v>
      </c>
      <c r="L42" s="25">
        <f t="shared" si="1"/>
        <v>69.722222222222229</v>
      </c>
    </row>
    <row r="43" spans="1:12" x14ac:dyDescent="0.3">
      <c r="A43" s="23" t="s">
        <v>11</v>
      </c>
      <c r="B43" s="23" t="s">
        <v>76</v>
      </c>
      <c r="C43" s="23" t="s">
        <v>77</v>
      </c>
      <c r="D43">
        <v>19</v>
      </c>
      <c r="E43" s="23" t="s">
        <v>21</v>
      </c>
      <c r="F43" s="23" t="s">
        <v>13</v>
      </c>
      <c r="G43">
        <v>74</v>
      </c>
      <c r="H43">
        <v>68</v>
      </c>
      <c r="I43" s="24">
        <v>45366</v>
      </c>
      <c r="J43" s="23" t="s">
        <v>14</v>
      </c>
      <c r="K43" s="23" t="str">
        <f t="shared" si="0"/>
        <v>Needs Improvement</v>
      </c>
      <c r="L43" s="25">
        <f t="shared" si="1"/>
        <v>69.411764705882348</v>
      </c>
    </row>
    <row r="44" spans="1:12" x14ac:dyDescent="0.3">
      <c r="A44" s="23" t="s">
        <v>72</v>
      </c>
      <c r="B44" s="23" t="s">
        <v>152</v>
      </c>
      <c r="C44" s="23" t="s">
        <v>153</v>
      </c>
      <c r="D44">
        <v>22</v>
      </c>
      <c r="E44" s="23" t="s">
        <v>16</v>
      </c>
      <c r="F44" s="23" t="s">
        <v>31</v>
      </c>
      <c r="G44">
        <v>96</v>
      </c>
      <c r="H44">
        <v>78</v>
      </c>
      <c r="I44" s="24">
        <v>45379</v>
      </c>
      <c r="J44" s="23" t="s">
        <v>41</v>
      </c>
      <c r="K44" s="23" t="str">
        <f t="shared" si="0"/>
        <v>Average</v>
      </c>
      <c r="L44" s="25">
        <f t="shared" si="1"/>
        <v>69.5</v>
      </c>
    </row>
    <row r="45" spans="1:12" x14ac:dyDescent="0.3">
      <c r="A45" s="23" t="s">
        <v>73</v>
      </c>
      <c r="B45" s="23" t="s">
        <v>154</v>
      </c>
      <c r="C45" s="23" t="s">
        <v>155</v>
      </c>
      <c r="D45">
        <v>23</v>
      </c>
      <c r="E45" s="23" t="s">
        <v>16</v>
      </c>
      <c r="F45" s="23" t="s">
        <v>13</v>
      </c>
      <c r="G45">
        <v>81</v>
      </c>
      <c r="H45">
        <v>52</v>
      </c>
      <c r="I45" s="24">
        <v>45373</v>
      </c>
      <c r="J45" s="23" t="s">
        <v>19</v>
      </c>
      <c r="K45" s="23" t="str">
        <f t="shared" si="0"/>
        <v>Poor</v>
      </c>
      <c r="L45" s="25">
        <f t="shared" si="1"/>
        <v>68.933333333333337</v>
      </c>
    </row>
    <row r="46" spans="1:12" x14ac:dyDescent="0.3">
      <c r="A46" s="23" t="s">
        <v>74</v>
      </c>
      <c r="B46" s="23" t="s">
        <v>156</v>
      </c>
      <c r="C46" s="23" t="s">
        <v>99</v>
      </c>
      <c r="D46">
        <v>22</v>
      </c>
      <c r="E46" s="23" t="s">
        <v>21</v>
      </c>
      <c r="F46" s="23" t="s">
        <v>31</v>
      </c>
      <c r="G46">
        <v>85</v>
      </c>
      <c r="H46">
        <v>67</v>
      </c>
      <c r="I46" s="24">
        <v>45371</v>
      </c>
      <c r="J46" s="23" t="s">
        <v>14</v>
      </c>
      <c r="K46" s="23" t="str">
        <f t="shared" si="0"/>
        <v>Needs Improvement</v>
      </c>
      <c r="L46" s="25">
        <f t="shared" si="1"/>
        <v>70.142857142857139</v>
      </c>
    </row>
    <row r="47" spans="1:12" x14ac:dyDescent="0.3">
      <c r="A47" s="23" t="s">
        <v>75</v>
      </c>
      <c r="B47" s="23" t="s">
        <v>157</v>
      </c>
      <c r="C47" s="23" t="s">
        <v>158</v>
      </c>
      <c r="D47">
        <v>22</v>
      </c>
      <c r="E47" s="23" t="s">
        <v>16</v>
      </c>
      <c r="F47" s="23" t="s">
        <v>28</v>
      </c>
      <c r="G47">
        <v>91</v>
      </c>
      <c r="H47">
        <v>57</v>
      </c>
      <c r="I47" s="24">
        <v>45366</v>
      </c>
      <c r="J47" s="23" t="s">
        <v>19</v>
      </c>
      <c r="K47" s="23" t="str">
        <f t="shared" si="0"/>
        <v>Poor</v>
      </c>
      <c r="L47" s="25">
        <f t="shared" si="1"/>
        <v>70.384615384615387</v>
      </c>
    </row>
    <row r="48" spans="1:12" x14ac:dyDescent="0.3">
      <c r="A48" s="23" t="s">
        <v>162</v>
      </c>
      <c r="B48" s="23" t="s">
        <v>182</v>
      </c>
      <c r="C48" s="23" t="s">
        <v>183</v>
      </c>
      <c r="D48">
        <v>22</v>
      </c>
      <c r="E48" s="23" t="s">
        <v>21</v>
      </c>
      <c r="F48" s="23" t="s">
        <v>17</v>
      </c>
      <c r="G48">
        <v>76</v>
      </c>
      <c r="H48">
        <v>53</v>
      </c>
      <c r="I48" s="24">
        <v>45379</v>
      </c>
      <c r="J48" s="23" t="s">
        <v>19</v>
      </c>
      <c r="K48" s="23" t="str">
        <f t="shared" si="0"/>
        <v>Poor</v>
      </c>
      <c r="L48" s="25">
        <f t="shared" si="1"/>
        <v>71.5</v>
      </c>
    </row>
    <row r="49" spans="1:12" x14ac:dyDescent="0.3">
      <c r="A49" s="23" t="s">
        <v>163</v>
      </c>
      <c r="B49" s="23" t="s">
        <v>173</v>
      </c>
      <c r="C49" s="23" t="s">
        <v>81</v>
      </c>
      <c r="D49">
        <v>25</v>
      </c>
      <c r="E49" s="23" t="s">
        <v>16</v>
      </c>
      <c r="F49" s="23" t="s">
        <v>28</v>
      </c>
      <c r="G49">
        <v>54</v>
      </c>
      <c r="H49">
        <v>58</v>
      </c>
      <c r="I49" s="24">
        <v>45366</v>
      </c>
      <c r="J49" s="23" t="s">
        <v>19</v>
      </c>
      <c r="K49" s="23" t="str">
        <f t="shared" si="0"/>
        <v>Poor</v>
      </c>
      <c r="L49" s="25">
        <f t="shared" si="1"/>
        <v>73.181818181818187</v>
      </c>
    </row>
    <row r="50" spans="1:12" x14ac:dyDescent="0.3">
      <c r="A50" s="23" t="s">
        <v>164</v>
      </c>
      <c r="B50" s="23" t="s">
        <v>174</v>
      </c>
      <c r="C50" s="23" t="s">
        <v>175</v>
      </c>
      <c r="D50">
        <v>19</v>
      </c>
      <c r="E50" s="23" t="s">
        <v>16</v>
      </c>
      <c r="F50" s="23" t="s">
        <v>13</v>
      </c>
      <c r="G50">
        <v>78</v>
      </c>
      <c r="H50">
        <v>66</v>
      </c>
      <c r="I50" s="24">
        <v>45369</v>
      </c>
      <c r="J50" s="23" t="s">
        <v>14</v>
      </c>
      <c r="K50" s="23" t="str">
        <f t="shared" si="0"/>
        <v>Needs Improvement</v>
      </c>
      <c r="L50" s="25">
        <f t="shared" si="1"/>
        <v>74.7</v>
      </c>
    </row>
    <row r="51" spans="1:12" x14ac:dyDescent="0.3">
      <c r="A51" s="23" t="s">
        <v>165</v>
      </c>
      <c r="B51" s="23" t="s">
        <v>176</v>
      </c>
      <c r="C51" s="23" t="s">
        <v>177</v>
      </c>
      <c r="D51">
        <v>20</v>
      </c>
      <c r="E51" s="23" t="s">
        <v>21</v>
      </c>
      <c r="F51" s="23" t="s">
        <v>31</v>
      </c>
      <c r="G51">
        <v>80</v>
      </c>
      <c r="H51">
        <v>92</v>
      </c>
      <c r="I51" s="24">
        <v>45366</v>
      </c>
      <c r="J51" s="23" t="s">
        <v>48</v>
      </c>
      <c r="K51" s="23" t="str">
        <f t="shared" si="0"/>
        <v>Excellent</v>
      </c>
      <c r="L51" s="25">
        <f t="shared" si="1"/>
        <v>75.666666666666671</v>
      </c>
    </row>
    <row r="52" spans="1:12" x14ac:dyDescent="0.3">
      <c r="A52" s="23" t="s">
        <v>166</v>
      </c>
      <c r="B52" s="23" t="s">
        <v>178</v>
      </c>
      <c r="C52" s="23" t="s">
        <v>179</v>
      </c>
      <c r="D52">
        <v>22</v>
      </c>
      <c r="E52" s="23" t="s">
        <v>16</v>
      </c>
      <c r="F52" s="23" t="s">
        <v>31</v>
      </c>
      <c r="G52">
        <v>89</v>
      </c>
      <c r="H52">
        <v>63</v>
      </c>
      <c r="I52" s="24">
        <v>45376</v>
      </c>
      <c r="J52" s="23" t="s">
        <v>14</v>
      </c>
      <c r="K52" s="23" t="str">
        <f t="shared" si="0"/>
        <v>Needs Improvement</v>
      </c>
      <c r="L52" s="25">
        <f t="shared" si="1"/>
        <v>73.625</v>
      </c>
    </row>
    <row r="53" spans="1:12" x14ac:dyDescent="0.3">
      <c r="A53" s="23" t="s">
        <v>167</v>
      </c>
      <c r="B53" s="23" t="s">
        <v>180</v>
      </c>
      <c r="C53" s="23" t="s">
        <v>181</v>
      </c>
      <c r="D53">
        <v>25</v>
      </c>
      <c r="E53" s="23" t="s">
        <v>16</v>
      </c>
      <c r="F53" s="23" t="s">
        <v>31</v>
      </c>
      <c r="G53">
        <v>72</v>
      </c>
      <c r="H53">
        <v>85</v>
      </c>
      <c r="I53" s="24">
        <v>45363</v>
      </c>
      <c r="J53" s="23" t="s">
        <v>22</v>
      </c>
      <c r="K53" s="23" t="str">
        <f t="shared" si="0"/>
        <v>Good</v>
      </c>
      <c r="L53" s="25">
        <f t="shared" si="1"/>
        <v>75.142857142857139</v>
      </c>
    </row>
    <row r="54" spans="1:12" x14ac:dyDescent="0.3">
      <c r="A54" s="23" t="s">
        <v>168</v>
      </c>
      <c r="B54" s="23" t="s">
        <v>76</v>
      </c>
      <c r="C54" s="23" t="s">
        <v>77</v>
      </c>
      <c r="D54">
        <v>22</v>
      </c>
      <c r="E54" s="23" t="s">
        <v>12</v>
      </c>
      <c r="F54" s="23" t="s">
        <v>31</v>
      </c>
      <c r="G54">
        <v>56</v>
      </c>
      <c r="H54">
        <v>89</v>
      </c>
      <c r="I54" s="24">
        <v>45371</v>
      </c>
      <c r="J54" s="23" t="s">
        <v>22</v>
      </c>
      <c r="K54" s="23" t="str">
        <f t="shared" si="0"/>
        <v>Good</v>
      </c>
      <c r="L54" s="25">
        <f t="shared" si="1"/>
        <v>73.5</v>
      </c>
    </row>
    <row r="55" spans="1:12" x14ac:dyDescent="0.3">
      <c r="A55" s="23" t="s">
        <v>15</v>
      </c>
      <c r="B55" s="23" t="s">
        <v>78</v>
      </c>
      <c r="C55" s="23" t="s">
        <v>79</v>
      </c>
      <c r="D55">
        <v>22</v>
      </c>
      <c r="E55" s="23" t="s">
        <v>16</v>
      </c>
      <c r="F55" s="23" t="s">
        <v>17</v>
      </c>
      <c r="G55">
        <v>60</v>
      </c>
      <c r="H55">
        <v>58</v>
      </c>
      <c r="I55" s="24">
        <v>45379</v>
      </c>
      <c r="J55" s="23" t="s">
        <v>19</v>
      </c>
      <c r="K55" s="23" t="str">
        <f t="shared" si="0"/>
        <v>Poor</v>
      </c>
      <c r="L55" s="25">
        <f t="shared" si="1"/>
        <v>70.400000000000006</v>
      </c>
    </row>
    <row r="56" spans="1:12" x14ac:dyDescent="0.3">
      <c r="A56" s="23" t="s">
        <v>169</v>
      </c>
      <c r="B56" s="23" t="s">
        <v>78</v>
      </c>
      <c r="C56" s="23" t="s">
        <v>79</v>
      </c>
      <c r="D56">
        <v>22</v>
      </c>
      <c r="E56" s="23" t="s">
        <v>21</v>
      </c>
      <c r="F56" s="23" t="s">
        <v>28</v>
      </c>
      <c r="G56">
        <v>64</v>
      </c>
      <c r="H56">
        <v>81</v>
      </c>
      <c r="I56" s="24">
        <v>45376</v>
      </c>
      <c r="J56" s="23" t="s">
        <v>19</v>
      </c>
      <c r="K56" s="23" t="str">
        <f t="shared" si="0"/>
        <v>Poor</v>
      </c>
      <c r="L56" s="25">
        <f t="shared" si="1"/>
        <v>73.5</v>
      </c>
    </row>
    <row r="57" spans="1:12" x14ac:dyDescent="0.3">
      <c r="A57" s="23" t="s">
        <v>170</v>
      </c>
      <c r="B57" s="23" t="s">
        <v>96</v>
      </c>
      <c r="C57" s="23" t="s">
        <v>97</v>
      </c>
      <c r="D57">
        <v>20</v>
      </c>
      <c r="E57" s="23" t="s">
        <v>16</v>
      </c>
      <c r="F57" s="23" t="s">
        <v>31</v>
      </c>
      <c r="G57">
        <v>69</v>
      </c>
      <c r="H57">
        <v>74</v>
      </c>
      <c r="I57" s="24">
        <v>45366</v>
      </c>
      <c r="J57" s="23" t="s">
        <v>41</v>
      </c>
      <c r="K57" s="23" t="str">
        <f t="shared" si="0"/>
        <v>Average</v>
      </c>
      <c r="L57" s="25">
        <f t="shared" si="1"/>
        <v>71</v>
      </c>
    </row>
    <row r="58" spans="1:12" x14ac:dyDescent="0.3">
      <c r="A58" s="23" t="s">
        <v>171</v>
      </c>
      <c r="B58" s="23" t="s">
        <v>98</v>
      </c>
      <c r="C58" s="23" t="s">
        <v>99</v>
      </c>
      <c r="D58">
        <v>20</v>
      </c>
      <c r="E58" s="23" t="s">
        <v>16</v>
      </c>
      <c r="F58" s="23" t="s">
        <v>31</v>
      </c>
      <c r="G58">
        <v>83</v>
      </c>
      <c r="H58">
        <v>71</v>
      </c>
      <c r="I58" s="24">
        <v>45369</v>
      </c>
      <c r="J58" s="23" t="s">
        <v>41</v>
      </c>
      <c r="K58" s="23" t="str">
        <f t="shared" si="0"/>
        <v>Average</v>
      </c>
      <c r="L58" s="25">
        <f t="shared" si="1"/>
        <v>69.5</v>
      </c>
    </row>
    <row r="59" spans="1:12" x14ac:dyDescent="0.3">
      <c r="A59" s="23" t="s">
        <v>172</v>
      </c>
      <c r="B59" s="23" t="s">
        <v>100</v>
      </c>
      <c r="C59" s="23" t="s">
        <v>101</v>
      </c>
      <c r="D59">
        <v>22</v>
      </c>
      <c r="E59" s="23" t="s">
        <v>16</v>
      </c>
      <c r="F59" s="23" t="s">
        <v>31</v>
      </c>
      <c r="G59">
        <v>80</v>
      </c>
      <c r="H59">
        <v>68</v>
      </c>
      <c r="I59" s="24">
        <v>45379</v>
      </c>
      <c r="J59" s="23" t="s">
        <v>14</v>
      </c>
      <c r="K59" s="23" t="str">
        <f t="shared" si="0"/>
        <v>Needs Improvement</v>
      </c>
      <c r="L59" s="25">
        <f t="shared" si="1"/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428C-2231-41CD-BCE6-D846655C6F64}">
  <dimension ref="A1:P59"/>
  <sheetViews>
    <sheetView tabSelected="1" zoomScale="45" zoomScaleNormal="45" workbookViewId="0">
      <selection activeCell="N7" sqref="N7"/>
    </sheetView>
  </sheetViews>
  <sheetFormatPr defaultRowHeight="14.4" x14ac:dyDescent="0.3"/>
  <cols>
    <col min="1" max="1" width="16.33203125" customWidth="1"/>
    <col min="2" max="2" width="18.109375" customWidth="1"/>
    <col min="3" max="3" width="15.77734375" customWidth="1"/>
    <col min="4" max="4" width="13.88671875" style="9" customWidth="1"/>
    <col min="5" max="5" width="18.44140625" customWidth="1"/>
    <col min="6" max="6" width="20.21875" customWidth="1"/>
    <col min="7" max="7" width="20" customWidth="1"/>
    <col min="8" max="8" width="17.21875" customWidth="1"/>
    <col min="9" max="9" width="21.88671875" customWidth="1"/>
    <col min="10" max="10" width="29.5546875" customWidth="1"/>
    <col min="11" max="11" width="22.5546875" customWidth="1"/>
    <col min="12" max="12" width="18" customWidth="1"/>
  </cols>
  <sheetData>
    <row r="1" spans="1:16" ht="25.8" customHeight="1" x14ac:dyDescent="0.3">
      <c r="A1" s="4" t="s">
        <v>3</v>
      </c>
      <c r="B1" s="5" t="s">
        <v>159</v>
      </c>
      <c r="C1" s="6" t="s">
        <v>160</v>
      </c>
      <c r="D1" s="8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7" t="s">
        <v>10</v>
      </c>
      <c r="K1" s="6" t="s">
        <v>184</v>
      </c>
      <c r="L1" s="6" t="s">
        <v>186</v>
      </c>
    </row>
    <row r="2" spans="1:16" ht="16.8" x14ac:dyDescent="0.3">
      <c r="A2" s="10" t="s">
        <v>11</v>
      </c>
      <c r="B2" s="11" t="s">
        <v>76</v>
      </c>
      <c r="C2" s="3" t="s">
        <v>77</v>
      </c>
      <c r="D2" s="3">
        <v>19</v>
      </c>
      <c r="E2" s="3" t="s">
        <v>21</v>
      </c>
      <c r="F2" s="3" t="s">
        <v>13</v>
      </c>
      <c r="G2" s="3">
        <v>74</v>
      </c>
      <c r="H2" s="3">
        <v>68</v>
      </c>
      <c r="I2" s="18"/>
      <c r="J2" s="12" t="s">
        <v>14</v>
      </c>
      <c r="K2" s="17" t="str">
        <f>Table1_1[[#This Row],[TRIM FUNCTIION]]</f>
        <v>Needs Improvement</v>
      </c>
      <c r="L2" s="17">
        <v>68</v>
      </c>
    </row>
    <row r="3" spans="1:16" ht="16.8" x14ac:dyDescent="0.3">
      <c r="A3" s="10" t="s">
        <v>15</v>
      </c>
      <c r="B3" s="11" t="s">
        <v>78</v>
      </c>
      <c r="C3" s="3" t="s">
        <v>79</v>
      </c>
      <c r="D3" s="3"/>
      <c r="E3" s="3" t="s">
        <v>16</v>
      </c>
      <c r="F3" s="3" t="s">
        <v>17</v>
      </c>
      <c r="G3" s="3">
        <v>60</v>
      </c>
      <c r="H3" s="3"/>
      <c r="I3" s="20" t="s">
        <v>18</v>
      </c>
      <c r="J3" s="12" t="s">
        <v>19</v>
      </c>
      <c r="K3" s="3" t="str">
        <f>Table1_1[[#This Row],[TRIM FUNCTIION]]</f>
        <v>Poor</v>
      </c>
      <c r="L3" s="3"/>
    </row>
    <row r="4" spans="1:16" ht="16.8" x14ac:dyDescent="0.3">
      <c r="A4" s="10" t="s">
        <v>20</v>
      </c>
      <c r="B4" s="11" t="s">
        <v>80</v>
      </c>
      <c r="C4" s="3" t="s">
        <v>81</v>
      </c>
      <c r="D4" s="3">
        <v>21</v>
      </c>
      <c r="E4" s="3" t="s">
        <v>21</v>
      </c>
      <c r="F4" s="3" t="s">
        <v>13</v>
      </c>
      <c r="G4" s="3">
        <v>69</v>
      </c>
      <c r="H4" s="3">
        <v>81</v>
      </c>
      <c r="I4" s="18"/>
      <c r="J4" s="12" t="s">
        <v>22</v>
      </c>
      <c r="K4" s="3" t="str">
        <f>Table1_1[[#This Row],[TRIM FUNCTIION]]</f>
        <v>Good</v>
      </c>
      <c r="L4" s="3">
        <v>81</v>
      </c>
    </row>
    <row r="5" spans="1:16" ht="16.8" x14ac:dyDescent="0.3">
      <c r="A5" s="10" t="s">
        <v>23</v>
      </c>
      <c r="B5" s="11" t="s">
        <v>82</v>
      </c>
      <c r="C5" s="3" t="s">
        <v>83</v>
      </c>
      <c r="D5" s="3">
        <v>21</v>
      </c>
      <c r="E5" s="3"/>
      <c r="F5" s="3" t="s">
        <v>13</v>
      </c>
      <c r="G5" s="3">
        <v>76</v>
      </c>
      <c r="H5" s="3">
        <v>62</v>
      </c>
      <c r="I5" s="18" t="s">
        <v>24</v>
      </c>
      <c r="J5" s="12" t="s">
        <v>14</v>
      </c>
      <c r="K5" s="3" t="str">
        <f>Table1_1[[#This Row],[TRIM FUNCTIION]]</f>
        <v>Needs Improvement</v>
      </c>
      <c r="L5" s="3">
        <v>62</v>
      </c>
    </row>
    <row r="6" spans="1:16" ht="16.8" x14ac:dyDescent="0.3">
      <c r="A6" s="10" t="s">
        <v>25</v>
      </c>
      <c r="B6" s="11" t="s">
        <v>84</v>
      </c>
      <c r="C6" s="3" t="s">
        <v>85</v>
      </c>
      <c r="D6" s="3">
        <v>24</v>
      </c>
      <c r="E6" s="3"/>
      <c r="F6" s="3" t="s">
        <v>17</v>
      </c>
      <c r="G6" s="3">
        <v>86</v>
      </c>
      <c r="H6" s="3">
        <v>55</v>
      </c>
      <c r="I6" s="18" t="s">
        <v>26</v>
      </c>
      <c r="J6" s="12"/>
      <c r="K6" s="3" t="str">
        <f>Table1_1[[#This Row],[TRIM FUNCTIION]]</f>
        <v>Poor</v>
      </c>
      <c r="L6" s="3">
        <v>55</v>
      </c>
    </row>
    <row r="7" spans="1:16" ht="16.8" x14ac:dyDescent="0.3">
      <c r="A7" s="10" t="s">
        <v>27</v>
      </c>
      <c r="B7" s="11" t="s">
        <v>86</v>
      </c>
      <c r="C7" s="3" t="s">
        <v>87</v>
      </c>
      <c r="D7" s="3">
        <v>25</v>
      </c>
      <c r="E7" s="3" t="s">
        <v>16</v>
      </c>
      <c r="F7" s="3" t="s">
        <v>28</v>
      </c>
      <c r="G7" s="3">
        <v>52</v>
      </c>
      <c r="H7" s="3">
        <v>58</v>
      </c>
      <c r="I7" s="18" t="s">
        <v>29</v>
      </c>
      <c r="J7" s="12" t="s">
        <v>19</v>
      </c>
      <c r="K7" s="3" t="str">
        <f>Table1_1[[#This Row],[TRIM FUNCTIION]]</f>
        <v>Poor</v>
      </c>
      <c r="L7" s="3">
        <v>58</v>
      </c>
    </row>
    <row r="8" spans="1:16" ht="16.8" x14ac:dyDescent="0.3">
      <c r="A8" s="10" t="s">
        <v>30</v>
      </c>
      <c r="B8" s="11" t="s">
        <v>88</v>
      </c>
      <c r="C8" s="3" t="s">
        <v>89</v>
      </c>
      <c r="D8" s="3"/>
      <c r="E8" s="3" t="s">
        <v>16</v>
      </c>
      <c r="F8" s="3" t="s">
        <v>31</v>
      </c>
      <c r="G8" s="3">
        <v>92</v>
      </c>
      <c r="H8" s="3">
        <v>62</v>
      </c>
      <c r="I8" s="18" t="s">
        <v>24</v>
      </c>
      <c r="J8" s="12" t="s">
        <v>14</v>
      </c>
      <c r="K8" s="3" t="str">
        <f>Table1_1[[#This Row],[TRIM FUNCTIION]]</f>
        <v>Needs Improvement</v>
      </c>
      <c r="L8" s="3">
        <v>62</v>
      </c>
    </row>
    <row r="9" spans="1:16" ht="16.8" x14ac:dyDescent="0.3">
      <c r="A9" s="10" t="s">
        <v>32</v>
      </c>
      <c r="B9" s="11" t="s">
        <v>90</v>
      </c>
      <c r="C9" s="3" t="s">
        <v>91</v>
      </c>
      <c r="D9" s="3">
        <v>24</v>
      </c>
      <c r="E9" s="3" t="s">
        <v>21</v>
      </c>
      <c r="F9" s="3" t="s">
        <v>31</v>
      </c>
      <c r="G9" s="3">
        <v>83</v>
      </c>
      <c r="H9" s="3">
        <v>58</v>
      </c>
      <c r="I9" s="18" t="s">
        <v>33</v>
      </c>
      <c r="J9" s="12" t="s">
        <v>19</v>
      </c>
      <c r="K9" s="3" t="str">
        <f>Table1_1[[#This Row],[TRIM FUNCTIION]]</f>
        <v>Poor</v>
      </c>
      <c r="L9" s="3">
        <v>58</v>
      </c>
      <c r="N9" s="21"/>
      <c r="O9" s="21"/>
      <c r="P9" s="21"/>
    </row>
    <row r="10" spans="1:16" ht="16.8" x14ac:dyDescent="0.3">
      <c r="A10" s="10" t="s">
        <v>34</v>
      </c>
      <c r="B10" s="11" t="s">
        <v>92</v>
      </c>
      <c r="C10" s="3" t="s">
        <v>93</v>
      </c>
      <c r="D10" s="3">
        <v>21</v>
      </c>
      <c r="E10" s="3" t="s">
        <v>16</v>
      </c>
      <c r="F10" s="3" t="s">
        <v>17</v>
      </c>
      <c r="G10" s="3">
        <v>54</v>
      </c>
      <c r="H10" s="3">
        <v>59</v>
      </c>
      <c r="I10" s="18" t="s">
        <v>26</v>
      </c>
      <c r="J10" s="12" t="s">
        <v>19</v>
      </c>
      <c r="K10" s="3" t="str">
        <f>Table1_1[[#This Row],[TRIM FUNCTIION]]</f>
        <v>Poor</v>
      </c>
      <c r="L10" s="3">
        <v>59</v>
      </c>
      <c r="N10" s="21"/>
      <c r="O10" s="21"/>
      <c r="P10" s="21"/>
    </row>
    <row r="11" spans="1:16" ht="16.8" x14ac:dyDescent="0.3">
      <c r="A11" s="10" t="s">
        <v>35</v>
      </c>
      <c r="B11" s="11" t="s">
        <v>94</v>
      </c>
      <c r="C11" s="3" t="s">
        <v>95</v>
      </c>
      <c r="D11" s="3">
        <v>19</v>
      </c>
      <c r="E11" s="3" t="s">
        <v>16</v>
      </c>
      <c r="F11" s="3" t="s">
        <v>13</v>
      </c>
      <c r="G11" s="3">
        <v>95</v>
      </c>
      <c r="H11" s="3">
        <v>64</v>
      </c>
      <c r="I11" s="18" t="s">
        <v>36</v>
      </c>
      <c r="J11" s="12" t="s">
        <v>14</v>
      </c>
      <c r="K11" s="3" t="str">
        <f>Table1_1[[#This Row],[TRIM FUNCTIION]]</f>
        <v>Needs Improvement</v>
      </c>
      <c r="L11" s="3">
        <v>64</v>
      </c>
      <c r="N11" s="21"/>
      <c r="O11" s="21"/>
      <c r="P11" s="21"/>
    </row>
    <row r="12" spans="1:16" ht="16.8" x14ac:dyDescent="0.3">
      <c r="A12" s="10" t="s">
        <v>37</v>
      </c>
      <c r="B12" s="11" t="s">
        <v>96</v>
      </c>
      <c r="C12" s="3" t="s">
        <v>97</v>
      </c>
      <c r="D12" s="3">
        <v>24</v>
      </c>
      <c r="E12" s="3" t="s">
        <v>21</v>
      </c>
      <c r="F12" s="3" t="s">
        <v>13</v>
      </c>
      <c r="G12" s="3">
        <v>85</v>
      </c>
      <c r="H12" s="3">
        <v>59</v>
      </c>
      <c r="I12" s="18" t="s">
        <v>18</v>
      </c>
      <c r="J12" s="12" t="s">
        <v>19</v>
      </c>
      <c r="K12" s="3" t="str">
        <f>Table1_1[[#This Row],[TRIM FUNCTIION]]</f>
        <v>Poor</v>
      </c>
      <c r="L12" s="3">
        <v>59</v>
      </c>
      <c r="N12" s="21"/>
      <c r="O12" s="21"/>
      <c r="P12" s="21"/>
    </row>
    <row r="13" spans="1:16" ht="16.8" x14ac:dyDescent="0.3">
      <c r="A13" s="10" t="s">
        <v>38</v>
      </c>
      <c r="B13" s="11" t="s">
        <v>98</v>
      </c>
      <c r="C13" s="3" t="s">
        <v>99</v>
      </c>
      <c r="D13" s="3">
        <v>22</v>
      </c>
      <c r="E13" s="3" t="s">
        <v>16</v>
      </c>
      <c r="F13" s="3" t="s">
        <v>31</v>
      </c>
      <c r="G13" s="3">
        <v>53</v>
      </c>
      <c r="H13" s="3">
        <v>97</v>
      </c>
      <c r="I13" s="18" t="s">
        <v>24</v>
      </c>
      <c r="J13" s="12"/>
      <c r="K13" s="3" t="str">
        <f>Table1_1[[#This Row],[TRIM FUNCTIION]]</f>
        <v>Poor</v>
      </c>
      <c r="L13" s="3">
        <v>97</v>
      </c>
      <c r="N13" s="21"/>
      <c r="O13" s="21"/>
      <c r="P13" s="21"/>
    </row>
    <row r="14" spans="1:16" ht="16.8" x14ac:dyDescent="0.3">
      <c r="A14" s="10" t="s">
        <v>39</v>
      </c>
      <c r="B14" s="11" t="s">
        <v>100</v>
      </c>
      <c r="C14" s="3" t="s">
        <v>101</v>
      </c>
      <c r="D14" s="3">
        <v>21</v>
      </c>
      <c r="E14" s="3" t="s">
        <v>16</v>
      </c>
      <c r="F14" s="3" t="s">
        <v>31</v>
      </c>
      <c r="G14" s="3">
        <v>64</v>
      </c>
      <c r="H14" s="3">
        <v>54</v>
      </c>
      <c r="I14" s="18" t="s">
        <v>18</v>
      </c>
      <c r="J14" s="12" t="s">
        <v>19</v>
      </c>
      <c r="K14" s="3" t="str">
        <f>Table1_1[[#This Row],[TRIM FUNCTIION]]</f>
        <v>Poor</v>
      </c>
      <c r="L14" s="3">
        <v>54</v>
      </c>
      <c r="N14" s="21"/>
      <c r="O14" s="21"/>
      <c r="P14" s="21"/>
    </row>
    <row r="15" spans="1:16" ht="16.8" x14ac:dyDescent="0.3">
      <c r="A15" s="10" t="s">
        <v>40</v>
      </c>
      <c r="B15" s="11" t="s">
        <v>102</v>
      </c>
      <c r="C15" s="3" t="s">
        <v>103</v>
      </c>
      <c r="D15" s="3">
        <v>25</v>
      </c>
      <c r="E15" s="3" t="s">
        <v>16</v>
      </c>
      <c r="F15" s="3" t="s">
        <v>31</v>
      </c>
      <c r="G15" s="3">
        <v>92</v>
      </c>
      <c r="H15" s="3">
        <v>77</v>
      </c>
      <c r="I15" s="18" t="s">
        <v>24</v>
      </c>
      <c r="J15" s="12" t="s">
        <v>41</v>
      </c>
      <c r="K15" s="3" t="str">
        <f>Table1_1[[#This Row],[TRIM FUNCTIION]]</f>
        <v>Average</v>
      </c>
      <c r="L15" s="3">
        <v>77</v>
      </c>
      <c r="N15" s="21"/>
      <c r="O15" s="21"/>
      <c r="P15" s="21"/>
    </row>
    <row r="16" spans="1:16" ht="16.8" x14ac:dyDescent="0.3">
      <c r="A16" s="10" t="s">
        <v>42</v>
      </c>
      <c r="B16" s="11" t="s">
        <v>104</v>
      </c>
      <c r="C16" s="3" t="s">
        <v>105</v>
      </c>
      <c r="D16" s="3">
        <v>19</v>
      </c>
      <c r="E16" s="3" t="s">
        <v>16</v>
      </c>
      <c r="F16" s="3" t="s">
        <v>28</v>
      </c>
      <c r="G16" s="3">
        <v>89</v>
      </c>
      <c r="H16" s="3">
        <v>71</v>
      </c>
      <c r="I16" s="18" t="s">
        <v>24</v>
      </c>
      <c r="J16" s="12" t="s">
        <v>41</v>
      </c>
      <c r="K16" s="3" t="str">
        <f>Table1_1[[#This Row],[TRIM FUNCTIION]]</f>
        <v>Average</v>
      </c>
      <c r="L16" s="3">
        <v>71</v>
      </c>
      <c r="N16" s="21"/>
      <c r="O16" s="21"/>
      <c r="P16" s="21"/>
    </row>
    <row r="17" spans="1:16" ht="16.8" x14ac:dyDescent="0.3">
      <c r="A17" s="10" t="s">
        <v>43</v>
      </c>
      <c r="B17" s="11" t="s">
        <v>106</v>
      </c>
      <c r="C17" s="3" t="s">
        <v>107</v>
      </c>
      <c r="D17" s="3">
        <v>22</v>
      </c>
      <c r="E17" s="3" t="s">
        <v>16</v>
      </c>
      <c r="F17" s="3" t="s">
        <v>13</v>
      </c>
      <c r="G17" s="3">
        <v>59</v>
      </c>
      <c r="H17" s="3"/>
      <c r="I17" s="18" t="s">
        <v>24</v>
      </c>
      <c r="J17" s="12" t="s">
        <v>19</v>
      </c>
      <c r="K17" s="3" t="str">
        <f>Table1_1[[#This Row],[TRIM FUNCTIION]]</f>
        <v>Poor</v>
      </c>
      <c r="L17" s="3"/>
      <c r="N17" s="21"/>
      <c r="O17" s="21"/>
      <c r="P17" s="21"/>
    </row>
    <row r="18" spans="1:16" ht="16.8" x14ac:dyDescent="0.3">
      <c r="A18" s="10" t="s">
        <v>44</v>
      </c>
      <c r="B18" s="11" t="s">
        <v>108</v>
      </c>
      <c r="C18" s="3" t="s">
        <v>109</v>
      </c>
      <c r="D18" s="3">
        <v>19</v>
      </c>
      <c r="E18" s="3" t="s">
        <v>16</v>
      </c>
      <c r="F18" s="3" t="s">
        <v>28</v>
      </c>
      <c r="G18" s="3">
        <v>61</v>
      </c>
      <c r="H18" s="3">
        <v>55</v>
      </c>
      <c r="I18" s="18" t="s">
        <v>18</v>
      </c>
      <c r="J18" s="12" t="s">
        <v>19</v>
      </c>
      <c r="K18" s="3" t="str">
        <f>Table1_1[[#This Row],[TRIM FUNCTIION]]</f>
        <v>Poor</v>
      </c>
      <c r="L18" s="3">
        <v>55</v>
      </c>
      <c r="N18" s="21"/>
      <c r="O18" s="21"/>
      <c r="P18" s="21"/>
    </row>
    <row r="19" spans="1:16" ht="16.8" x14ac:dyDescent="0.3">
      <c r="A19" s="10" t="s">
        <v>45</v>
      </c>
      <c r="B19" s="11" t="s">
        <v>110</v>
      </c>
      <c r="C19" s="3" t="s">
        <v>111</v>
      </c>
      <c r="D19" s="3">
        <v>22</v>
      </c>
      <c r="E19" s="3" t="s">
        <v>16</v>
      </c>
      <c r="F19" s="3" t="s">
        <v>28</v>
      </c>
      <c r="G19" s="3">
        <v>69</v>
      </c>
      <c r="H19" s="3">
        <v>70</v>
      </c>
      <c r="I19" s="18" t="s">
        <v>36</v>
      </c>
      <c r="J19" s="12" t="s">
        <v>14</v>
      </c>
      <c r="K19" s="3" t="str">
        <f>Table1_1[[#This Row],[TRIM FUNCTIION]]</f>
        <v>Needs Improvement</v>
      </c>
      <c r="L19" s="3">
        <v>70</v>
      </c>
      <c r="N19" s="21"/>
      <c r="O19" s="21"/>
      <c r="P19" s="21"/>
    </row>
    <row r="20" spans="1:16" ht="16.8" x14ac:dyDescent="0.3">
      <c r="A20" s="10" t="s">
        <v>46</v>
      </c>
      <c r="B20" s="11" t="s">
        <v>112</v>
      </c>
      <c r="C20" s="3" t="s">
        <v>113</v>
      </c>
      <c r="D20" s="3">
        <v>19</v>
      </c>
      <c r="E20" s="3" t="s">
        <v>16</v>
      </c>
      <c r="F20" s="3" t="s">
        <v>17</v>
      </c>
      <c r="G20" s="3">
        <v>75</v>
      </c>
      <c r="H20" s="3">
        <v>100</v>
      </c>
      <c r="I20" s="18" t="s">
        <v>47</v>
      </c>
      <c r="J20" s="12" t="s">
        <v>48</v>
      </c>
      <c r="K20" s="3" t="str">
        <f>Table1_1[[#This Row],[TRIM FUNCTIION]]</f>
        <v>Excellent</v>
      </c>
      <c r="L20" s="3">
        <v>100</v>
      </c>
      <c r="N20" s="21"/>
      <c r="O20" s="21"/>
      <c r="P20" s="21"/>
    </row>
    <row r="21" spans="1:16" ht="16.8" x14ac:dyDescent="0.3">
      <c r="A21" s="10" t="s">
        <v>49</v>
      </c>
      <c r="B21" s="11" t="s">
        <v>114</v>
      </c>
      <c r="C21" s="3" t="s">
        <v>115</v>
      </c>
      <c r="D21" s="3">
        <v>19</v>
      </c>
      <c r="E21" s="3" t="s">
        <v>21</v>
      </c>
      <c r="F21" s="3" t="s">
        <v>28</v>
      </c>
      <c r="G21" s="3">
        <v>82</v>
      </c>
      <c r="H21" s="3">
        <v>95</v>
      </c>
      <c r="I21" s="18" t="s">
        <v>50</v>
      </c>
      <c r="J21" s="12" t="s">
        <v>48</v>
      </c>
      <c r="K21" s="3" t="str">
        <f>Table1_1[[#This Row],[TRIM FUNCTIION]]</f>
        <v>Excellent</v>
      </c>
      <c r="L21" s="3">
        <v>95</v>
      </c>
      <c r="N21" s="21"/>
      <c r="O21" s="21"/>
      <c r="P21" s="21"/>
    </row>
    <row r="22" spans="1:16" ht="16.8" x14ac:dyDescent="0.3">
      <c r="A22" s="10" t="s">
        <v>51</v>
      </c>
      <c r="B22" s="11" t="s">
        <v>116</v>
      </c>
      <c r="C22" s="3" t="s">
        <v>117</v>
      </c>
      <c r="D22" s="3">
        <v>19</v>
      </c>
      <c r="E22" s="3" t="s">
        <v>21</v>
      </c>
      <c r="F22" s="3" t="s">
        <v>13</v>
      </c>
      <c r="G22" s="3">
        <v>69</v>
      </c>
      <c r="H22" s="3">
        <v>92</v>
      </c>
      <c r="I22" s="18" t="s">
        <v>52</v>
      </c>
      <c r="J22" s="12" t="s">
        <v>48</v>
      </c>
      <c r="K22" s="3" t="str">
        <f>Table1_1[[#This Row],[TRIM FUNCTIION]]</f>
        <v>Excellent</v>
      </c>
      <c r="L22" s="3">
        <v>92</v>
      </c>
    </row>
    <row r="23" spans="1:16" ht="16.8" x14ac:dyDescent="0.3">
      <c r="A23" s="10" t="s">
        <v>53</v>
      </c>
      <c r="B23" s="11" t="s">
        <v>118</v>
      </c>
      <c r="C23" s="3" t="s">
        <v>119</v>
      </c>
      <c r="D23" s="3">
        <v>22</v>
      </c>
      <c r="E23" s="3" t="s">
        <v>21</v>
      </c>
      <c r="F23" s="3" t="s">
        <v>17</v>
      </c>
      <c r="G23" s="3">
        <v>74</v>
      </c>
      <c r="H23" s="3">
        <v>63</v>
      </c>
      <c r="I23" s="18" t="s">
        <v>50</v>
      </c>
      <c r="J23" s="12"/>
      <c r="K23" s="3" t="str">
        <f>Table1_1[[#This Row],[TRIM FUNCTIION]]</f>
        <v>Poor</v>
      </c>
      <c r="L23" s="3">
        <v>63</v>
      </c>
    </row>
    <row r="24" spans="1:16" ht="16.8" x14ac:dyDescent="0.3">
      <c r="A24" s="10" t="s">
        <v>20</v>
      </c>
      <c r="B24" s="11" t="s">
        <v>80</v>
      </c>
      <c r="C24" s="3" t="s">
        <v>81</v>
      </c>
      <c r="D24" s="3">
        <v>21</v>
      </c>
      <c r="E24" s="3" t="s">
        <v>21</v>
      </c>
      <c r="F24" s="3" t="s">
        <v>13</v>
      </c>
      <c r="G24" s="3">
        <v>69</v>
      </c>
      <c r="H24" s="3">
        <v>81</v>
      </c>
      <c r="I24" s="18" t="s">
        <v>52</v>
      </c>
      <c r="J24" s="12" t="s">
        <v>22</v>
      </c>
      <c r="K24" s="3" t="str">
        <f>Table1_1[[#This Row],[TRIM FUNCTIION]]</f>
        <v>Good</v>
      </c>
      <c r="L24" s="3">
        <v>81</v>
      </c>
    </row>
    <row r="25" spans="1:16" ht="16.8" x14ac:dyDescent="0.3">
      <c r="A25" s="10" t="s">
        <v>54</v>
      </c>
      <c r="B25" s="11" t="s">
        <v>120</v>
      </c>
      <c r="C25" s="3" t="s">
        <v>121</v>
      </c>
      <c r="D25" s="3">
        <v>23</v>
      </c>
      <c r="E25" s="3" t="s">
        <v>16</v>
      </c>
      <c r="F25" s="3" t="s">
        <v>28</v>
      </c>
      <c r="G25" s="3">
        <v>89</v>
      </c>
      <c r="H25" s="3">
        <v>58</v>
      </c>
      <c r="I25" s="18" t="s">
        <v>47</v>
      </c>
      <c r="J25" s="12" t="s">
        <v>19</v>
      </c>
      <c r="K25" s="3" t="str">
        <f>Table1_1[[#This Row],[TRIM FUNCTIION]]</f>
        <v>Poor</v>
      </c>
      <c r="L25" s="3">
        <v>58</v>
      </c>
    </row>
    <row r="26" spans="1:16" ht="16.8" x14ac:dyDescent="0.3">
      <c r="A26" s="10" t="s">
        <v>55</v>
      </c>
      <c r="B26" s="11" t="s">
        <v>122</v>
      </c>
      <c r="C26" s="3" t="s">
        <v>123</v>
      </c>
      <c r="D26" s="3">
        <v>22</v>
      </c>
      <c r="E26" s="3"/>
      <c r="F26" s="3" t="s">
        <v>13</v>
      </c>
      <c r="G26" s="3">
        <v>51</v>
      </c>
      <c r="H26" s="3">
        <v>85</v>
      </c>
      <c r="I26" s="18" t="s">
        <v>47</v>
      </c>
      <c r="J26" s="12" t="s">
        <v>22</v>
      </c>
      <c r="K26" s="3" t="str">
        <f>Table1_1[[#This Row],[TRIM FUNCTIION]]</f>
        <v>Good</v>
      </c>
      <c r="L26" s="3">
        <v>85</v>
      </c>
    </row>
    <row r="27" spans="1:16" ht="16.8" x14ac:dyDescent="0.3">
      <c r="A27" s="10" t="s">
        <v>56</v>
      </c>
      <c r="B27" s="11" t="s">
        <v>124</v>
      </c>
      <c r="C27" s="3" t="s">
        <v>125</v>
      </c>
      <c r="D27" s="3"/>
      <c r="E27" s="3" t="s">
        <v>21</v>
      </c>
      <c r="F27" s="3" t="s">
        <v>17</v>
      </c>
      <c r="G27" s="3">
        <v>63</v>
      </c>
      <c r="H27" s="3">
        <v>98</v>
      </c>
      <c r="I27" s="18" t="s">
        <v>50</v>
      </c>
      <c r="J27" s="12" t="s">
        <v>48</v>
      </c>
      <c r="K27" s="3" t="str">
        <f>Table1_1[[#This Row],[TRIM FUNCTIION]]</f>
        <v>Excellent</v>
      </c>
      <c r="L27" s="3">
        <v>98</v>
      </c>
    </row>
    <row r="28" spans="1:16" ht="16.8" x14ac:dyDescent="0.3">
      <c r="A28" s="10" t="s">
        <v>57</v>
      </c>
      <c r="B28" s="11" t="s">
        <v>126</v>
      </c>
      <c r="C28" s="3" t="s">
        <v>127</v>
      </c>
      <c r="D28" s="3">
        <v>21</v>
      </c>
      <c r="E28" s="3" t="s">
        <v>16</v>
      </c>
      <c r="F28" s="3" t="s">
        <v>17</v>
      </c>
      <c r="G28" s="3">
        <v>87</v>
      </c>
      <c r="H28" s="3">
        <v>79</v>
      </c>
      <c r="I28" s="18" t="s">
        <v>47</v>
      </c>
      <c r="J28" s="12" t="s">
        <v>41</v>
      </c>
      <c r="K28" s="3" t="str">
        <f>Table1_1[[#This Row],[TRIM FUNCTIION]]</f>
        <v>Average</v>
      </c>
      <c r="L28" s="3">
        <v>79</v>
      </c>
    </row>
    <row r="29" spans="1:16" ht="16.8" x14ac:dyDescent="0.3">
      <c r="A29" s="10" t="s">
        <v>58</v>
      </c>
      <c r="B29" s="11" t="s">
        <v>128</v>
      </c>
      <c r="C29" s="3" t="s">
        <v>129</v>
      </c>
      <c r="D29" s="3">
        <v>20</v>
      </c>
      <c r="E29" s="3" t="s">
        <v>21</v>
      </c>
      <c r="F29" s="3" t="s">
        <v>31</v>
      </c>
      <c r="G29" s="3">
        <v>97</v>
      </c>
      <c r="H29" s="3">
        <v>80</v>
      </c>
      <c r="I29" s="18" t="s">
        <v>50</v>
      </c>
      <c r="J29" s="12" t="s">
        <v>41</v>
      </c>
      <c r="K29" s="3" t="str">
        <f>Table1_1[[#This Row],[TRIM FUNCTIION]]</f>
        <v>Average</v>
      </c>
      <c r="L29" s="3">
        <v>80</v>
      </c>
    </row>
    <row r="30" spans="1:16" ht="16.8" x14ac:dyDescent="0.3">
      <c r="A30" s="10" t="s">
        <v>59</v>
      </c>
      <c r="B30" s="11" t="s">
        <v>130</v>
      </c>
      <c r="C30" s="3" t="s">
        <v>131</v>
      </c>
      <c r="D30" s="3">
        <v>24</v>
      </c>
      <c r="E30" s="3"/>
      <c r="F30" s="3" t="s">
        <v>17</v>
      </c>
      <c r="G30" s="3">
        <v>76</v>
      </c>
      <c r="H30" s="3">
        <v>64</v>
      </c>
      <c r="I30" s="18" t="s">
        <v>26</v>
      </c>
      <c r="J30" s="12" t="s">
        <v>14</v>
      </c>
      <c r="K30" s="3" t="str">
        <f>Table1_1[[#This Row],[TRIM FUNCTIION]]</f>
        <v>Needs Improvement</v>
      </c>
      <c r="L30" s="3">
        <v>64</v>
      </c>
    </row>
    <row r="31" spans="1:16" ht="16.8" x14ac:dyDescent="0.3">
      <c r="A31" s="10" t="s">
        <v>60</v>
      </c>
      <c r="B31" s="11" t="s">
        <v>132</v>
      </c>
      <c r="C31" s="3" t="s">
        <v>133</v>
      </c>
      <c r="D31" s="3">
        <v>20</v>
      </c>
      <c r="E31" s="3" t="s">
        <v>16</v>
      </c>
      <c r="F31" s="3" t="s">
        <v>28</v>
      </c>
      <c r="G31" s="3">
        <v>77</v>
      </c>
      <c r="H31" s="3">
        <v>90</v>
      </c>
      <c r="I31" s="18" t="s">
        <v>47</v>
      </c>
      <c r="J31" s="12" t="s">
        <v>22</v>
      </c>
      <c r="K31" s="3" t="str">
        <f>Table1_1[[#This Row],[TRIM FUNCTIION]]</f>
        <v>Good</v>
      </c>
      <c r="L31" s="3">
        <v>90</v>
      </c>
    </row>
    <row r="32" spans="1:16" ht="16.8" x14ac:dyDescent="0.3">
      <c r="A32" s="10" t="s">
        <v>61</v>
      </c>
      <c r="B32" s="11" t="s">
        <v>134</v>
      </c>
      <c r="C32" s="3" t="s">
        <v>135</v>
      </c>
      <c r="D32" s="3"/>
      <c r="E32" s="3" t="s">
        <v>16</v>
      </c>
      <c r="F32" s="3" t="s">
        <v>28</v>
      </c>
      <c r="G32" s="3">
        <v>55</v>
      </c>
      <c r="H32" s="3">
        <v>59</v>
      </c>
      <c r="I32" s="18" t="s">
        <v>24</v>
      </c>
      <c r="J32" s="12" t="s">
        <v>19</v>
      </c>
      <c r="K32" s="3" t="str">
        <f>Table1_1[[#This Row],[TRIM FUNCTIION]]</f>
        <v>Poor</v>
      </c>
      <c r="L32" s="3">
        <v>59</v>
      </c>
    </row>
    <row r="33" spans="1:12" ht="16.8" x14ac:dyDescent="0.3">
      <c r="A33" s="10" t="s">
        <v>62</v>
      </c>
      <c r="B33" s="11" t="s">
        <v>136</v>
      </c>
      <c r="C33" s="3" t="s">
        <v>137</v>
      </c>
      <c r="D33" s="3">
        <v>19</v>
      </c>
      <c r="E33" s="3" t="s">
        <v>16</v>
      </c>
      <c r="F33" s="3" t="s">
        <v>28</v>
      </c>
      <c r="G33" s="3">
        <v>73</v>
      </c>
      <c r="H33" s="3">
        <v>67</v>
      </c>
      <c r="I33" s="18"/>
      <c r="J33" s="12" t="s">
        <v>14</v>
      </c>
      <c r="K33" s="3" t="str">
        <f>Table1_1[[#This Row],[TRIM FUNCTIION]]</f>
        <v>Needs Improvement</v>
      </c>
      <c r="L33" s="3">
        <v>67</v>
      </c>
    </row>
    <row r="34" spans="1:12" ht="16.8" x14ac:dyDescent="0.3">
      <c r="A34" s="10" t="s">
        <v>63</v>
      </c>
      <c r="B34" s="11" t="s">
        <v>138</v>
      </c>
      <c r="C34" s="3" t="s">
        <v>139</v>
      </c>
      <c r="D34" s="3"/>
      <c r="E34" s="3" t="s">
        <v>16</v>
      </c>
      <c r="F34" s="3"/>
      <c r="G34" s="3">
        <v>78</v>
      </c>
      <c r="H34" s="3">
        <v>72</v>
      </c>
      <c r="I34" s="18" t="s">
        <v>50</v>
      </c>
      <c r="J34" s="12" t="s">
        <v>41</v>
      </c>
      <c r="K34" s="3" t="str">
        <f>Table1_1[[#This Row],[TRIM FUNCTIION]]</f>
        <v>Average</v>
      </c>
      <c r="L34" s="3">
        <v>72</v>
      </c>
    </row>
    <row r="35" spans="1:12" ht="16.8" x14ac:dyDescent="0.3">
      <c r="A35" s="10" t="s">
        <v>64</v>
      </c>
      <c r="B35" s="11" t="s">
        <v>140</v>
      </c>
      <c r="C35" s="3" t="s">
        <v>123</v>
      </c>
      <c r="D35" s="3">
        <v>19</v>
      </c>
      <c r="E35" s="3" t="s">
        <v>21</v>
      </c>
      <c r="F35" s="3" t="s">
        <v>28</v>
      </c>
      <c r="G35" s="3">
        <v>62</v>
      </c>
      <c r="H35" s="3">
        <v>76</v>
      </c>
      <c r="I35" s="18" t="s">
        <v>47</v>
      </c>
      <c r="J35" s="12" t="s">
        <v>41</v>
      </c>
      <c r="K35" s="3" t="str">
        <f>Table1_1[[#This Row],[TRIM FUNCTIION]]</f>
        <v>Average</v>
      </c>
      <c r="L35" s="3">
        <v>76</v>
      </c>
    </row>
    <row r="36" spans="1:12" ht="16.8" x14ac:dyDescent="0.3">
      <c r="A36" s="10" t="s">
        <v>65</v>
      </c>
      <c r="B36" s="11" t="s">
        <v>141</v>
      </c>
      <c r="C36" s="3" t="s">
        <v>83</v>
      </c>
      <c r="D36" s="3">
        <v>25</v>
      </c>
      <c r="E36" s="3" t="s">
        <v>21</v>
      </c>
      <c r="F36" s="3" t="s">
        <v>28</v>
      </c>
      <c r="G36" s="3">
        <v>64</v>
      </c>
      <c r="H36" s="3">
        <v>62</v>
      </c>
      <c r="I36" s="18"/>
      <c r="J36" s="12"/>
      <c r="K36" s="3" t="str">
        <f>Table1_1[[#This Row],[TRIM FUNCTIION]]</f>
        <v>Poor</v>
      </c>
      <c r="L36" s="3">
        <v>62</v>
      </c>
    </row>
    <row r="37" spans="1:12" ht="16.8" x14ac:dyDescent="0.3">
      <c r="A37" s="10" t="s">
        <v>66</v>
      </c>
      <c r="B37" s="11" t="s">
        <v>142</v>
      </c>
      <c r="C37" s="3" t="s">
        <v>87</v>
      </c>
      <c r="D37" s="3">
        <v>22</v>
      </c>
      <c r="E37" s="3" t="s">
        <v>16</v>
      </c>
      <c r="F37" s="3" t="s">
        <v>13</v>
      </c>
      <c r="G37" s="3">
        <v>69</v>
      </c>
      <c r="H37" s="3">
        <v>56</v>
      </c>
      <c r="I37" s="18" t="s">
        <v>36</v>
      </c>
      <c r="J37" s="12" t="s">
        <v>19</v>
      </c>
      <c r="K37" s="3" t="str">
        <f>Table1_1[[#This Row],[TRIM FUNCTIION]]</f>
        <v>Poor</v>
      </c>
      <c r="L37" s="3">
        <v>56</v>
      </c>
    </row>
    <row r="38" spans="1:12" ht="16.8" x14ac:dyDescent="0.3">
      <c r="A38" s="10" t="s">
        <v>67</v>
      </c>
      <c r="B38" s="11" t="s">
        <v>143</v>
      </c>
      <c r="C38" s="3" t="s">
        <v>144</v>
      </c>
      <c r="D38" s="3"/>
      <c r="E38" s="3" t="s">
        <v>16</v>
      </c>
      <c r="F38" s="3" t="s">
        <v>31</v>
      </c>
      <c r="G38" s="3">
        <v>51</v>
      </c>
      <c r="H38" s="3">
        <v>82</v>
      </c>
      <c r="I38" s="18" t="s">
        <v>33</v>
      </c>
      <c r="J38" s="12" t="s">
        <v>22</v>
      </c>
      <c r="K38" s="3" t="str">
        <f>Table1_1[[#This Row],[TRIM FUNCTIION]]</f>
        <v>Good</v>
      </c>
      <c r="L38" s="3">
        <v>82</v>
      </c>
    </row>
    <row r="39" spans="1:12" ht="16.8" x14ac:dyDescent="0.3">
      <c r="A39" s="10" t="s">
        <v>68</v>
      </c>
      <c r="B39" s="11" t="s">
        <v>145</v>
      </c>
      <c r="C39" s="3" t="s">
        <v>146</v>
      </c>
      <c r="D39" s="3">
        <v>19</v>
      </c>
      <c r="E39" s="3"/>
      <c r="F39" s="3" t="s">
        <v>31</v>
      </c>
      <c r="G39" s="3">
        <v>66</v>
      </c>
      <c r="H39" s="3">
        <v>65</v>
      </c>
      <c r="I39" s="18"/>
      <c r="J39" s="12" t="s">
        <v>14</v>
      </c>
      <c r="K39" s="3" t="str">
        <f>Table1_1[[#This Row],[TRIM FUNCTIION]]</f>
        <v>Needs Improvement</v>
      </c>
      <c r="L39" s="3">
        <v>65</v>
      </c>
    </row>
    <row r="40" spans="1:12" ht="16.8" x14ac:dyDescent="0.3">
      <c r="A40" s="10" t="s">
        <v>69</v>
      </c>
      <c r="B40" s="11" t="s">
        <v>147</v>
      </c>
      <c r="C40" s="3" t="s">
        <v>148</v>
      </c>
      <c r="D40" s="3">
        <v>22</v>
      </c>
      <c r="E40" s="3"/>
      <c r="F40" s="3" t="s">
        <v>31</v>
      </c>
      <c r="G40" s="3">
        <v>61</v>
      </c>
      <c r="H40" s="3">
        <v>80</v>
      </c>
      <c r="I40" s="18" t="s">
        <v>36</v>
      </c>
      <c r="J40" s="12" t="s">
        <v>41</v>
      </c>
      <c r="K40" s="3" t="str">
        <f>Table1_1[[#This Row],[TRIM FUNCTIION]]</f>
        <v>Average</v>
      </c>
      <c r="L40" s="3">
        <v>80</v>
      </c>
    </row>
    <row r="41" spans="1:12" ht="16.8" x14ac:dyDescent="0.3">
      <c r="A41" s="10" t="s">
        <v>70</v>
      </c>
      <c r="B41" s="11" t="s">
        <v>149</v>
      </c>
      <c r="C41" s="3" t="s">
        <v>107</v>
      </c>
      <c r="D41" s="3"/>
      <c r="E41" s="3" t="s">
        <v>16</v>
      </c>
      <c r="F41" s="3" t="s">
        <v>31</v>
      </c>
      <c r="G41" s="3">
        <v>67</v>
      </c>
      <c r="H41" s="3">
        <v>58</v>
      </c>
      <c r="I41" s="18" t="s">
        <v>50</v>
      </c>
      <c r="J41" s="12" t="s">
        <v>19</v>
      </c>
      <c r="K41" s="3" t="str">
        <f>Table1_1[[#This Row],[TRIM FUNCTIION]]</f>
        <v>Poor</v>
      </c>
      <c r="L41" s="3">
        <v>58</v>
      </c>
    </row>
    <row r="42" spans="1:12" ht="16.8" x14ac:dyDescent="0.3">
      <c r="A42" s="10" t="s">
        <v>71</v>
      </c>
      <c r="B42" s="11" t="s">
        <v>150</v>
      </c>
      <c r="C42" s="3" t="s">
        <v>151</v>
      </c>
      <c r="D42" s="3">
        <v>22</v>
      </c>
      <c r="E42" s="3" t="s">
        <v>16</v>
      </c>
      <c r="F42" s="3" t="s">
        <v>31</v>
      </c>
      <c r="G42" s="3">
        <v>56</v>
      </c>
      <c r="H42" s="3">
        <v>75</v>
      </c>
      <c r="I42" s="18" t="s">
        <v>24</v>
      </c>
      <c r="J42" s="12" t="s">
        <v>41</v>
      </c>
      <c r="K42" s="3" t="str">
        <f>Table1_1[[#This Row],[TRIM FUNCTIION]]</f>
        <v>Average</v>
      </c>
      <c r="L42" s="3">
        <v>75</v>
      </c>
    </row>
    <row r="43" spans="1:12" ht="16.8" x14ac:dyDescent="0.3">
      <c r="A43" s="10" t="s">
        <v>11</v>
      </c>
      <c r="B43" s="11" t="s">
        <v>76</v>
      </c>
      <c r="C43" s="3" t="s">
        <v>77</v>
      </c>
      <c r="D43" s="3">
        <v>19</v>
      </c>
      <c r="E43" s="3" t="s">
        <v>21</v>
      </c>
      <c r="F43" s="3" t="s">
        <v>13</v>
      </c>
      <c r="G43" s="3">
        <v>74</v>
      </c>
      <c r="H43" s="3">
        <v>68</v>
      </c>
      <c r="I43" s="18"/>
      <c r="J43" s="12" t="s">
        <v>14</v>
      </c>
      <c r="K43" s="3" t="str">
        <f>Table1_1[[#This Row],[TRIM FUNCTIION]]</f>
        <v>Needs Improvement</v>
      </c>
      <c r="L43" s="3">
        <v>68</v>
      </c>
    </row>
    <row r="44" spans="1:12" ht="16.8" x14ac:dyDescent="0.3">
      <c r="A44" s="10" t="s">
        <v>72</v>
      </c>
      <c r="B44" s="11" t="s">
        <v>152</v>
      </c>
      <c r="C44" s="3" t="s">
        <v>153</v>
      </c>
      <c r="D44" s="3">
        <v>22</v>
      </c>
      <c r="E44" s="3" t="s">
        <v>16</v>
      </c>
      <c r="F44" s="3" t="s">
        <v>31</v>
      </c>
      <c r="G44" s="3">
        <v>96</v>
      </c>
      <c r="H44" s="3">
        <v>78</v>
      </c>
      <c r="I44" s="18" t="s">
        <v>18</v>
      </c>
      <c r="J44" s="12" t="s">
        <v>41</v>
      </c>
      <c r="K44" s="3" t="str">
        <f>Table1_1[[#This Row],[TRIM FUNCTIION]]</f>
        <v>Average</v>
      </c>
      <c r="L44" s="3">
        <v>78</v>
      </c>
    </row>
    <row r="45" spans="1:12" ht="16.8" x14ac:dyDescent="0.3">
      <c r="A45" s="10" t="s">
        <v>73</v>
      </c>
      <c r="B45" s="11" t="s">
        <v>154</v>
      </c>
      <c r="C45" s="3" t="s">
        <v>155</v>
      </c>
      <c r="D45" s="3">
        <v>23</v>
      </c>
      <c r="E45" s="3" t="s">
        <v>16</v>
      </c>
      <c r="F45" s="3" t="s">
        <v>13</v>
      </c>
      <c r="G45" s="3">
        <v>81</v>
      </c>
      <c r="H45" s="3">
        <v>52</v>
      </c>
      <c r="I45" s="18" t="s">
        <v>36</v>
      </c>
      <c r="J45" s="12" t="s">
        <v>19</v>
      </c>
      <c r="K45" s="3" t="str">
        <f>Table1_1[[#This Row],[TRIM FUNCTIION]]</f>
        <v>Poor</v>
      </c>
      <c r="L45" s="3">
        <v>52</v>
      </c>
    </row>
    <row r="46" spans="1:12" ht="16.8" x14ac:dyDescent="0.3">
      <c r="A46" s="10" t="s">
        <v>74</v>
      </c>
      <c r="B46" s="11" t="s">
        <v>156</v>
      </c>
      <c r="C46" s="3" t="s">
        <v>99</v>
      </c>
      <c r="D46" s="3">
        <v>22</v>
      </c>
      <c r="E46" s="3" t="s">
        <v>21</v>
      </c>
      <c r="F46" s="3" t="s">
        <v>31</v>
      </c>
      <c r="G46" s="3">
        <v>85</v>
      </c>
      <c r="H46" s="3">
        <v>67</v>
      </c>
      <c r="I46" s="18" t="s">
        <v>47</v>
      </c>
      <c r="J46" s="12" t="s">
        <v>14</v>
      </c>
      <c r="K46" s="3" t="str">
        <f>Table1_1[[#This Row],[TRIM FUNCTIION]]</f>
        <v>Needs Improvement</v>
      </c>
      <c r="L46" s="3">
        <v>67</v>
      </c>
    </row>
    <row r="47" spans="1:12" ht="16.8" x14ac:dyDescent="0.3">
      <c r="A47" s="13" t="s">
        <v>75</v>
      </c>
      <c r="B47" s="14" t="s">
        <v>157</v>
      </c>
      <c r="C47" s="15" t="s">
        <v>158</v>
      </c>
      <c r="D47" s="3">
        <v>22</v>
      </c>
      <c r="E47" s="15" t="s">
        <v>16</v>
      </c>
      <c r="F47" s="15" t="s">
        <v>28</v>
      </c>
      <c r="G47" s="15">
        <v>91</v>
      </c>
      <c r="H47" s="15">
        <v>57</v>
      </c>
      <c r="I47" s="19"/>
      <c r="J47" s="16" t="s">
        <v>19</v>
      </c>
      <c r="K47" s="3" t="str">
        <f>Table1_1[[#This Row],[TRIM FUNCTIION]]</f>
        <v>Poor</v>
      </c>
      <c r="L47" s="3">
        <v>57</v>
      </c>
    </row>
    <row r="48" spans="1:12" ht="16.8" x14ac:dyDescent="0.3">
      <c r="A48" s="3" t="s">
        <v>162</v>
      </c>
      <c r="B48" s="3" t="s">
        <v>182</v>
      </c>
      <c r="C48" s="3" t="s">
        <v>183</v>
      </c>
      <c r="D48" s="3">
        <v>22</v>
      </c>
      <c r="E48" s="3" t="s">
        <v>21</v>
      </c>
      <c r="F48" s="3" t="s">
        <v>17</v>
      </c>
      <c r="G48" s="3">
        <v>76</v>
      </c>
      <c r="H48" s="3">
        <v>53</v>
      </c>
      <c r="I48" s="18" t="s">
        <v>18</v>
      </c>
      <c r="J48" s="3"/>
      <c r="K48" s="3" t="str">
        <f>Table1_1[[#This Row],[TRIM FUNCTIION]]</f>
        <v>Poor</v>
      </c>
      <c r="L48" s="3">
        <v>53</v>
      </c>
    </row>
    <row r="49" spans="1:12" ht="16.8" x14ac:dyDescent="0.3">
      <c r="A49" s="3" t="s">
        <v>163</v>
      </c>
      <c r="B49" s="3" t="s">
        <v>173</v>
      </c>
      <c r="C49" s="3" t="s">
        <v>81</v>
      </c>
      <c r="D49" s="3">
        <v>25</v>
      </c>
      <c r="E49" s="3"/>
      <c r="F49" s="3" t="s">
        <v>28</v>
      </c>
      <c r="G49" s="3">
        <v>54</v>
      </c>
      <c r="H49" s="3"/>
      <c r="I49" s="18" t="s">
        <v>24</v>
      </c>
      <c r="J49" s="3" t="s">
        <v>19</v>
      </c>
      <c r="K49" s="3" t="str">
        <f>Table1_1[[#This Row],[TRIM FUNCTIION]]</f>
        <v>Poor</v>
      </c>
      <c r="L49" s="3"/>
    </row>
    <row r="50" spans="1:12" ht="16.8" x14ac:dyDescent="0.3">
      <c r="A50" s="3" t="s">
        <v>164</v>
      </c>
      <c r="B50" s="3" t="s">
        <v>174</v>
      </c>
      <c r="C50" s="3" t="s">
        <v>175</v>
      </c>
      <c r="D50" s="3">
        <v>19</v>
      </c>
      <c r="E50" s="3" t="s">
        <v>16</v>
      </c>
      <c r="F50" s="3" t="s">
        <v>13</v>
      </c>
      <c r="G50" s="3">
        <v>78</v>
      </c>
      <c r="H50" s="3">
        <v>66</v>
      </c>
      <c r="I50" s="18" t="s">
        <v>50</v>
      </c>
      <c r="J50" s="3" t="s">
        <v>14</v>
      </c>
      <c r="K50" s="3" t="str">
        <f>Table1_1[[#This Row],[TRIM FUNCTIION]]</f>
        <v>Needs Improvement</v>
      </c>
      <c r="L50" s="3">
        <v>66</v>
      </c>
    </row>
    <row r="51" spans="1:12" ht="16.8" x14ac:dyDescent="0.3">
      <c r="A51" s="3" t="s">
        <v>165</v>
      </c>
      <c r="B51" s="3" t="s">
        <v>176</v>
      </c>
      <c r="C51" s="3" t="s">
        <v>177</v>
      </c>
      <c r="D51" s="3">
        <v>20</v>
      </c>
      <c r="E51" s="3" t="s">
        <v>21</v>
      </c>
      <c r="F51" s="3" t="s">
        <v>31</v>
      </c>
      <c r="G51" s="3">
        <v>80</v>
      </c>
      <c r="H51" s="3">
        <v>92</v>
      </c>
      <c r="I51" s="18" t="s">
        <v>24</v>
      </c>
      <c r="J51" s="3" t="s">
        <v>48</v>
      </c>
      <c r="K51" s="3" t="str">
        <f>Table1_1[[#This Row],[TRIM FUNCTIION]]</f>
        <v>Excellent</v>
      </c>
      <c r="L51" s="3">
        <v>92</v>
      </c>
    </row>
    <row r="52" spans="1:12" ht="16.8" x14ac:dyDescent="0.3">
      <c r="A52" s="3" t="s">
        <v>166</v>
      </c>
      <c r="B52" s="3" t="s">
        <v>178</v>
      </c>
      <c r="C52" s="3" t="s">
        <v>179</v>
      </c>
      <c r="D52" s="3"/>
      <c r="E52" s="3" t="s">
        <v>16</v>
      </c>
      <c r="F52" s="3" t="s">
        <v>31</v>
      </c>
      <c r="G52" s="3">
        <v>89</v>
      </c>
      <c r="H52" s="3">
        <v>63</v>
      </c>
      <c r="I52" s="18" t="s">
        <v>26</v>
      </c>
      <c r="J52" s="3" t="s">
        <v>14</v>
      </c>
      <c r="K52" s="3" t="str">
        <f>Table1_1[[#This Row],[TRIM FUNCTIION]]</f>
        <v>Needs Improvement</v>
      </c>
      <c r="L52" s="3">
        <v>63</v>
      </c>
    </row>
    <row r="53" spans="1:12" ht="16.8" x14ac:dyDescent="0.3">
      <c r="A53" s="3" t="s">
        <v>167</v>
      </c>
      <c r="B53" s="3" t="s">
        <v>180</v>
      </c>
      <c r="C53" s="3" t="s">
        <v>181</v>
      </c>
      <c r="D53" s="3">
        <v>25</v>
      </c>
      <c r="E53" s="3" t="s">
        <v>16</v>
      </c>
      <c r="F53" s="3" t="s">
        <v>31</v>
      </c>
      <c r="G53" s="3">
        <v>72</v>
      </c>
      <c r="H53" s="3">
        <v>85</v>
      </c>
      <c r="I53" s="18" t="s">
        <v>33</v>
      </c>
      <c r="J53" s="3" t="s">
        <v>22</v>
      </c>
      <c r="K53" s="3" t="str">
        <f>Table1_1[[#This Row],[TRIM FUNCTIION]]</f>
        <v>Good</v>
      </c>
      <c r="L53" s="3">
        <v>85</v>
      </c>
    </row>
    <row r="54" spans="1:12" ht="16.8" x14ac:dyDescent="0.3">
      <c r="A54" s="3" t="s">
        <v>168</v>
      </c>
      <c r="B54" s="3" t="s">
        <v>76</v>
      </c>
      <c r="C54" s="3" t="s">
        <v>77</v>
      </c>
      <c r="D54" s="3">
        <v>22</v>
      </c>
      <c r="E54" s="3" t="s">
        <v>12</v>
      </c>
      <c r="F54" s="3" t="s">
        <v>31</v>
      </c>
      <c r="G54" s="3">
        <v>56</v>
      </c>
      <c r="H54" s="3">
        <v>89</v>
      </c>
      <c r="I54" s="18" t="s">
        <v>47</v>
      </c>
      <c r="J54" s="3" t="s">
        <v>22</v>
      </c>
      <c r="K54" s="3" t="str">
        <f>Table1_1[[#This Row],[TRIM FUNCTIION]]</f>
        <v>Good</v>
      </c>
      <c r="L54" s="3">
        <v>89</v>
      </c>
    </row>
    <row r="55" spans="1:12" ht="16.8" x14ac:dyDescent="0.3">
      <c r="A55" s="3" t="s">
        <v>15</v>
      </c>
      <c r="B55" s="3" t="s">
        <v>78</v>
      </c>
      <c r="C55" s="3" t="s">
        <v>79</v>
      </c>
      <c r="D55" s="3"/>
      <c r="E55" s="3" t="s">
        <v>16</v>
      </c>
      <c r="F55" s="3" t="s">
        <v>17</v>
      </c>
      <c r="G55" s="3">
        <v>60</v>
      </c>
      <c r="H55" s="3"/>
      <c r="I55" s="18" t="s">
        <v>18</v>
      </c>
      <c r="J55" s="3" t="s">
        <v>19</v>
      </c>
      <c r="K55" s="3" t="str">
        <f>Table1_1[[#This Row],[TRIM FUNCTIION]]</f>
        <v>Poor</v>
      </c>
      <c r="L55" s="3"/>
    </row>
    <row r="56" spans="1:12" ht="16.8" x14ac:dyDescent="0.3">
      <c r="A56" s="3" t="s">
        <v>169</v>
      </c>
      <c r="B56" s="3" t="s">
        <v>78</v>
      </c>
      <c r="C56" s="3" t="s">
        <v>79</v>
      </c>
      <c r="D56" s="3">
        <v>22</v>
      </c>
      <c r="E56" s="3" t="s">
        <v>21</v>
      </c>
      <c r="F56" s="3" t="s">
        <v>28</v>
      </c>
      <c r="G56" s="3">
        <v>64</v>
      </c>
      <c r="H56" s="3">
        <v>81</v>
      </c>
      <c r="I56" s="18" t="s">
        <v>26</v>
      </c>
      <c r="J56" s="3"/>
      <c r="K56" s="3" t="str">
        <f>Table1_1[[#This Row],[TRIM FUNCTIION]]</f>
        <v>Poor</v>
      </c>
      <c r="L56" s="3">
        <v>81</v>
      </c>
    </row>
    <row r="57" spans="1:12" ht="16.8" x14ac:dyDescent="0.3">
      <c r="A57" s="3" t="s">
        <v>170</v>
      </c>
      <c r="B57" s="3" t="s">
        <v>96</v>
      </c>
      <c r="C57" s="3" t="s">
        <v>97</v>
      </c>
      <c r="D57" s="3">
        <v>20</v>
      </c>
      <c r="E57" s="3" t="s">
        <v>16</v>
      </c>
      <c r="F57" s="3" t="s">
        <v>31</v>
      </c>
      <c r="G57" s="3">
        <v>69</v>
      </c>
      <c r="H57" s="3">
        <v>74</v>
      </c>
      <c r="I57" s="18"/>
      <c r="J57" s="3" t="s">
        <v>41</v>
      </c>
      <c r="K57" s="3" t="str">
        <f>Table1_1[[#This Row],[TRIM FUNCTIION]]</f>
        <v>Average</v>
      </c>
      <c r="L57" s="3">
        <v>74</v>
      </c>
    </row>
    <row r="58" spans="1:12" ht="16.8" x14ac:dyDescent="0.3">
      <c r="A58" s="3" t="s">
        <v>171</v>
      </c>
      <c r="B58" s="3" t="s">
        <v>98</v>
      </c>
      <c r="C58" s="3" t="s">
        <v>99</v>
      </c>
      <c r="D58" s="3">
        <v>20</v>
      </c>
      <c r="E58" s="3" t="s">
        <v>16</v>
      </c>
      <c r="F58" s="3" t="s">
        <v>31</v>
      </c>
      <c r="G58" s="3">
        <v>83</v>
      </c>
      <c r="H58" s="3">
        <v>71</v>
      </c>
      <c r="I58" s="18" t="s">
        <v>50</v>
      </c>
      <c r="J58" s="3" t="s">
        <v>41</v>
      </c>
      <c r="K58" s="3" t="str">
        <f>Table1_1[[#This Row],[TRIM FUNCTIION]]</f>
        <v>Average</v>
      </c>
      <c r="L58" s="3">
        <v>71</v>
      </c>
    </row>
    <row r="59" spans="1:12" ht="16.8" x14ac:dyDescent="0.3">
      <c r="A59" s="3" t="s">
        <v>172</v>
      </c>
      <c r="B59" s="3" t="s">
        <v>100</v>
      </c>
      <c r="C59" s="3" t="s">
        <v>101</v>
      </c>
      <c r="D59" s="3">
        <v>22</v>
      </c>
      <c r="E59" s="3" t="s">
        <v>16</v>
      </c>
      <c r="F59" s="3" t="s">
        <v>31</v>
      </c>
      <c r="G59" s="3">
        <v>80</v>
      </c>
      <c r="H59" s="3">
        <v>68</v>
      </c>
      <c r="I59" s="18" t="s">
        <v>18</v>
      </c>
      <c r="J59" s="3" t="s">
        <v>14</v>
      </c>
      <c r="K59" s="15" t="str">
        <f>Table1_1[[#This Row],[TRIM FUNCTIION]]</f>
        <v>Needs Improvement</v>
      </c>
      <c r="L59" s="15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1DEBA-93BE-4763-BB9D-EE32B16E9C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AKILA THARANI - DAY 8.xlsx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2025-10-23T08:17:25Z</dcterms:created>
  <dcterms:modified xsi:type="dcterms:W3CDTF">2025-11-14T07:14:20Z</dcterms:modified>
</cp:coreProperties>
</file>